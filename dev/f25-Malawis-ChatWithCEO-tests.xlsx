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byu-my.sharepoint.com/personal/ses3_byu_edu/Documents/Apps/MakeTheCase/dev/"/>
    </mc:Choice>
  </mc:AlternateContent>
  <xr:revisionPtr revIDLastSave="30" documentId="13_ncr:9_{F58D3A63-90F8-4535-9284-961B53CA0808}" xr6:coauthVersionLast="47" xr6:coauthVersionMax="47" xr10:uidLastSave="{91125089-453F-41E3-BDA6-812ABBB5F2B3}"/>
  <bookViews>
    <workbookView xWindow="-33710" yWindow="140" windowWidth="26900" windowHeight="15570" activeTab="1" xr2:uid="{0696523B-1638-466B-B141-B3AA0046F87B}"/>
  </bookViews>
  <sheets>
    <sheet name="Sheet1" sheetId="2" r:id="rId1"/>
    <sheet name="Sheet2" sheetId="3" r:id="rId2"/>
    <sheet name="f25-Malawis-ChatWithCEO-tests" sheetId="1" r:id="rId3"/>
  </sheets>
  <calcPr calcId="191029"/>
  <pivotCaches>
    <pivotCache cacheId="0" r:id="rId4"/>
    <pivotCache cacheId="6"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3"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2" i="1"/>
  <c r="I9" i="3"/>
  <c r="H9" i="3"/>
  <c r="G9" i="3"/>
  <c r="I8" i="3"/>
  <c r="I7" i="3"/>
  <c r="I6" i="3"/>
</calcChain>
</file>

<file path=xl/sharedStrings.xml><?xml version="1.0" encoding="utf-8"?>
<sst xmlns="http://schemas.openxmlformats.org/spreadsheetml/2006/main" count="1342" uniqueCount="553">
  <si>
    <t>section_id</t>
  </si>
  <si>
    <t>full_name</t>
  </si>
  <si>
    <t>score</t>
  </si>
  <si>
    <t>persona</t>
  </si>
  <si>
    <t>hints</t>
  </si>
  <si>
    <t>helpful</t>
  </si>
  <si>
    <t>liked</t>
  </si>
  <si>
    <t>improve</t>
  </si>
  <si>
    <t>chat_model</t>
  </si>
  <si>
    <t>super_model</t>
  </si>
  <si>
    <t>MBA530-1-F25</t>
  </si>
  <si>
    <t>Cory Sadler</t>
  </si>
  <si>
    <t>sycophantic</t>
  </si>
  <si>
    <t>I liked that it felt mostly real. It was fun to discuss a challenging question.</t>
  </si>
  <si>
    <t>I was on sycophant setting. I think you were too nice</t>
  </si>
  <si>
    <t>gemini-2.5-pro</t>
  </si>
  <si>
    <t>gemini-2.5-flash</t>
  </si>
  <si>
    <t>GSCM401-2-F25</t>
  </si>
  <si>
    <t>Trisha Teeples</t>
  </si>
  <si>
    <t>moderate</t>
  </si>
  <si>
    <t>how it was challenging and then told me if i was on the right track or not with my answers</t>
  </si>
  <si>
    <t>give more hints</t>
  </si>
  <si>
    <t>MBA530-2-F25</t>
  </si>
  <si>
    <t>Anela Hansen</t>
  </si>
  <si>
    <t>strict</t>
  </si>
  <si>
    <t>Chatting with a character from the case was very interesting and helpful in making the case interactive and more real.</t>
  </si>
  <si>
    <t>No feedback right now!</t>
  </si>
  <si>
    <t>Richard Lindsay</t>
  </si>
  <si>
    <t>It was novel</t>
  </si>
  <si>
    <t>I don't know</t>
  </si>
  <si>
    <t>Senah Park</t>
  </si>
  <si>
    <t>It had me explain my thought process from a very basic starting point</t>
  </si>
  <si>
    <t>nothing comes to mind. this was cool!</t>
  </si>
  <si>
    <t>Nephi DÃ¼mmar</t>
  </si>
  <si>
    <t>I love that it exists!</t>
  </si>
  <si>
    <t>I think it can be a bit of a stickler to some information that is not that helpful. Sure you may pull the explicit phrasing from the case, but it still seemed to be an unhelpful question.</t>
  </si>
  <si>
    <t>Rebecca Garrett</t>
  </si>
  <si>
    <t>I was able to take the time to really think through my response</t>
  </si>
  <si>
    <t>Sometimes it felt like you were jumping into another subject/point completely. It could have been better by seeming more connected and fluid</t>
  </si>
  <si>
    <t>Jenna Rasmussen</t>
  </si>
  <si>
    <t>Being asked specific questions while having the opportunity to reference the case was great!</t>
  </si>
  <si>
    <t>The chat suggestion I mentioned!</t>
  </si>
  <si>
    <t>Kade Josephson</t>
  </si>
  <si>
    <t>You asked good questions that challenged my thinking and my knowledge of the case.</t>
  </si>
  <si>
    <t>I don't have any advice on how to improve</t>
  </si>
  <si>
    <t>Tyler Doman</t>
  </si>
  <si>
    <t>Kent challenged my thinking and pushed me to go deeper. He also revealed issues in my thinking that I hadn't considered.</t>
  </si>
  <si>
    <t>GSCM401-3-F25</t>
  </si>
  <si>
    <t>Sam McCoy</t>
  </si>
  <si>
    <t>Not much</t>
  </si>
  <si>
    <t>Add to my responses, instead of echoing them back</t>
  </si>
  <si>
    <t>gemini-2.5-flash-lite</t>
  </si>
  <si>
    <t>Alex White</t>
  </si>
  <si>
    <t>leading</t>
  </si>
  <si>
    <t>It's nice to have an interactive activity</t>
  </si>
  <si>
    <t>Not sure</t>
  </si>
  <si>
    <t>GSCM401-1-F25</t>
  </si>
  <si>
    <t>McKay Loftus</t>
  </si>
  <si>
    <t>I enjoyed how intelgent the quesitons wehre</t>
  </si>
  <si>
    <t>You could make the interaction a littel more ambigous</t>
  </si>
  <si>
    <t>Grecia Cirilo</t>
  </si>
  <si>
    <t>The amazing complements</t>
  </si>
  <si>
    <t>It was perfect</t>
  </si>
  <si>
    <t>Haley Clark</t>
  </si>
  <si>
    <t>I liked that it helped me better understand the core of the case</t>
  </si>
  <si>
    <t>I liked all of it!</t>
  </si>
  <si>
    <t>Corban Bartlett</t>
  </si>
  <si>
    <t>NULL</t>
  </si>
  <si>
    <t>no</t>
  </si>
  <si>
    <t>Cameron Dutson</t>
  </si>
  <si>
    <t>liberal</t>
  </si>
  <si>
    <t>I liked the opportunities to think deeply</t>
  </si>
  <si>
    <t>The questions were vary broad and looking for specific answers</t>
  </si>
  <si>
    <t>other:Testing</t>
  </si>
  <si>
    <t>Owen Davis</t>
  </si>
  <si>
    <t>Dallin Johansen</t>
  </si>
  <si>
    <t>Helped me think through key issues in a logical, chronological way</t>
  </si>
  <si>
    <t>Sound a little more like a person and less like chatgpt. A little more personality</t>
  </si>
  <si>
    <t>Cole Harmon</t>
  </si>
  <si>
    <t>Helps me know small details of the case</t>
  </si>
  <si>
    <t>Less agreeable</t>
  </si>
  <si>
    <t>Anna Davis</t>
  </si>
  <si>
    <t>the questions you asked, and when you challenged my reasoning</t>
  </si>
  <si>
    <t>looking at it from different angles</t>
  </si>
  <si>
    <t>Whitney Przybyla</t>
  </si>
  <si>
    <t>i enjoyed the positivity and help as i was answering questions</t>
  </si>
  <si>
    <t>i think this simulated conversation might be improved through a little more assistance and guidance</t>
  </si>
  <si>
    <t>Dallyn McCracken</t>
  </si>
  <si>
    <t>it pushed me to think harder and not just settle for initial instincts</t>
  </si>
  <si>
    <t>Connor Rees</t>
  </si>
  <si>
    <t>real time responses that were relevant to the facts of the case</t>
  </si>
  <si>
    <t>outline in the beginning what should be included in my response</t>
  </si>
  <si>
    <t>Lucky Finau</t>
  </si>
  <si>
    <t>good conversation.</t>
  </si>
  <si>
    <t>Simple questions</t>
  </si>
  <si>
    <t>none</t>
  </si>
  <si>
    <t>Abe Bedard</t>
  </si>
  <si>
    <t>being able to actually have a realistic conversation with the main character from the case was awesome! Love being able to talk through ideas with them.</t>
  </si>
  <si>
    <t>When I asked about P&amp;L numbers, the business owner would have that type of info and i beilive it would be useful to be able to get non-case info out of the owner</t>
  </si>
  <si>
    <t>Nathan Talcott</t>
  </si>
  <si>
    <t>I loved the option of the strictness off Kent Beck. It was interesting to see how I could make him overly agreeable or very strict</t>
  </si>
  <si>
    <t>Nothing. It's really good!</t>
  </si>
  <si>
    <t>Ben Hancock</t>
  </si>
  <si>
    <t>I appreciated his help in pointing my the right direction and reminding me of the core problem.</t>
  </si>
  <si>
    <t>This liberal model had some leading personality to it that you may or may not want.</t>
  </si>
  <si>
    <t>Andrew Abbott</t>
  </si>
  <si>
    <t>It was interesting and helped me to think through the case better.</t>
  </si>
  <si>
    <t>I don't think there was anything.</t>
  </si>
  <si>
    <t>Vienna Prado</t>
  </si>
  <si>
    <t>its simulated a real life converstaion and situation</t>
  </si>
  <si>
    <t>im not sure, it was great so far</t>
  </si>
  <si>
    <t>Addie Fisher</t>
  </si>
  <si>
    <t>It gave me real life questions to think through</t>
  </si>
  <si>
    <t>sometimes the process was repetative</t>
  </si>
  <si>
    <t>Sof Patey</t>
  </si>
  <si>
    <t>it feels like real life feedback</t>
  </si>
  <si>
    <t>nothing I can think of</t>
  </si>
  <si>
    <t>Kelsey Christensen</t>
  </si>
  <si>
    <t>your compliments</t>
  </si>
  <si>
    <t>nothing</t>
  </si>
  <si>
    <t>Alexa Bruschke</t>
  </si>
  <si>
    <t>I liked the questions, they were analytical</t>
  </si>
  <si>
    <t>not sure</t>
  </si>
  <si>
    <t>Chloe Church</t>
  </si>
  <si>
    <t>it gave me a new perspecitive on things!</t>
  </si>
  <si>
    <t>i thought it was great</t>
  </si>
  <si>
    <t>Felix Vivanco</t>
  </si>
  <si>
    <t>stick to the case</t>
  </si>
  <si>
    <t>Talk about the real facts about the business</t>
  </si>
  <si>
    <t>Wilson Scow</t>
  </si>
  <si>
    <t>i did not</t>
  </si>
  <si>
    <t>i could have prepared more</t>
  </si>
  <si>
    <t>James Mason</t>
  </si>
  <si>
    <t>I like that it pushed back and made me think hard and actually justfiy my answers</t>
  </si>
  <si>
    <t>no recommendations</t>
  </si>
  <si>
    <t>Joseph McClellan</t>
  </si>
  <si>
    <t>whats my score</t>
  </si>
  <si>
    <t>John Sumpter</t>
  </si>
  <si>
    <t>I liked the positive feedback and the encouraging context. It empowered me to truly believe that I was helping and that helped give me confidence to provide more and better ideas going forward</t>
  </si>
  <si>
    <t>Nothing comes to mind right now, you did wonderful</t>
  </si>
  <si>
    <t>Carlos Suffert</t>
  </si>
  <si>
    <t>the dynamic of problem solving and focusing on the actual pains of the process</t>
  </si>
  <si>
    <t>I think the leading personality could be a bit more incisive about the reasons of the solutions and leave a bit of room to push back</t>
  </si>
  <si>
    <t>Trace Boggess</t>
  </si>
  <si>
    <t>That it would respond to my response then pose a new question that made me think deeper.</t>
  </si>
  <si>
    <t>Honestly I thought it was great</t>
  </si>
  <si>
    <t>James Okeson</t>
  </si>
  <si>
    <t>info</t>
  </si>
  <si>
    <t>less rigid order of answers needed</t>
  </si>
  <si>
    <t>Michael Rhoton</t>
  </si>
  <si>
    <t>I loved how well it held my hand and pushed back on the counter arguments that would exist in my  responses. I was able to further learn while I was attempting to respond.</t>
  </si>
  <si>
    <t>No comments</t>
  </si>
  <si>
    <t>Ammon Jensen</t>
  </si>
  <si>
    <t>I loved how it was trying to get a certain point from me, but didn't just keep asking</t>
  </si>
  <si>
    <t>Being a little more specific with questions, IE like how many ideas you are looking for</t>
  </si>
  <si>
    <t>Jacob Hyland</t>
  </si>
  <si>
    <t>I did up derstandit weell</t>
  </si>
  <si>
    <t>im not sure</t>
  </si>
  <si>
    <t>JD Davenport</t>
  </si>
  <si>
    <t>I got to test my own agent tree idea lol</t>
  </si>
  <si>
    <t>I think that the purpose was not clear</t>
  </si>
  <si>
    <t>Cailey Akagi</t>
  </si>
  <si>
    <t>The ability to articulate my thoughts. I like thinking through things deeply.</t>
  </si>
  <si>
    <t>Already stated above</t>
  </si>
  <si>
    <t>Ethan Elliott</t>
  </si>
  <si>
    <t>It felt real and felt like a good way to learn and think through a case</t>
  </si>
  <si>
    <t>No feedback</t>
  </si>
  <si>
    <t>Rachel G</t>
  </si>
  <si>
    <t>His positive attitude back at me</t>
  </si>
  <si>
    <t>had to repeat my answers</t>
  </si>
  <si>
    <t>Jacob Newell</t>
  </si>
  <si>
    <t>I liked the follow up questions which challenged my recommendations and helped me think deeper.</t>
  </si>
  <si>
    <t>Less recap of what I just said.</t>
  </si>
  <si>
    <t>Jefferson Washburn</t>
  </si>
  <si>
    <t>the pushback was good and helped me to think about both sides of the argument</t>
  </si>
  <si>
    <t>shorter answers</t>
  </si>
  <si>
    <t>Anna King</t>
  </si>
  <si>
    <t>I like that kent" repeated back my ideas so I knew he was aware of the value of what I proposed</t>
  </si>
  <si>
    <t>Carolina Alvarez</t>
  </si>
  <si>
    <t>I really liked how it helped me think through the case, and pushed me to give more specific details and dig deeper into my answers and thoughts</t>
  </si>
  <si>
    <t>This might have been the personality that I chose, but maybe make it more conversational, it feel too structured and guided</t>
  </si>
  <si>
    <t>Xianny Magoffin</t>
  </si>
  <si>
    <t>I liked the fact that you were questioning me about every detail, pushing me to think further and have a broader understanding of the case.</t>
  </si>
  <si>
    <t>No improvements needed</t>
  </si>
  <si>
    <t>Brady Jennings</t>
  </si>
  <si>
    <t>I like that it gave me direction for what I need to consider</t>
  </si>
  <si>
    <t>I liked it, no improvements</t>
  </si>
  <si>
    <t>Jared Lubin</t>
  </si>
  <si>
    <t>It was very unique. We've never approached any case with an AI model like this</t>
  </si>
  <si>
    <t>Frankly, the sycophantic model was fun to work with, but I would imagine it was probably the least useful of all of the potential options</t>
  </si>
  <si>
    <t>Jen Martinez</t>
  </si>
  <si>
    <t>that is pushed me and forced me to think about all the factors that would be affected by my recommendations</t>
  </si>
  <si>
    <t>sorry I meant 5 not 1</t>
  </si>
  <si>
    <t>Ava Jorgensen</t>
  </si>
  <si>
    <t>It helped me learn about the case</t>
  </si>
  <si>
    <t>I can't think of any ways it can improve</t>
  </si>
  <si>
    <t>Toby Zheng</t>
  </si>
  <si>
    <t>I love your personality</t>
  </si>
  <si>
    <t>it is perfect</t>
  </si>
  <si>
    <t>Jake Thomas</t>
  </si>
  <si>
    <t>you made me feel validated and valuable</t>
  </si>
  <si>
    <t>giving an end goal before</t>
  </si>
  <si>
    <t>Jared Kraus</t>
  </si>
  <si>
    <t>Made the scenario feel real. Helped practice on the spot problem solving</t>
  </si>
  <si>
    <t>More time to practice this case</t>
  </si>
  <si>
    <t>Jackson Griffin</t>
  </si>
  <si>
    <t>idk</t>
  </si>
  <si>
    <t>probably</t>
  </si>
  <si>
    <t>Lucy Groberg</t>
  </si>
  <si>
    <t>pointed me back to the case on specific topics</t>
  </si>
  <si>
    <t>for hints, give me an exact place to look in the case</t>
  </si>
  <si>
    <t>Limhi Duran</t>
  </si>
  <si>
    <t>The thought provoking questions and guidance</t>
  </si>
  <si>
    <t>Just more difficult questions as the conversation progressed</t>
  </si>
  <si>
    <t>jaron diehl</t>
  </si>
  <si>
    <t>helped queue my mind to things i had forgotten in the case</t>
  </si>
  <si>
    <t>hmmmm...maybe some memory joggers to help me get my mind in the right place before our conversations begins. some reminders of critical facts to help us get farther faster</t>
  </si>
  <si>
    <t>Malakai Bird</t>
  </si>
  <si>
    <t>I liked how it structured my thinking in terms of demand, seasonality, and considering all the variables involved in a proposed solution</t>
  </si>
  <si>
    <t>I would suggest calling out more where my ideas don't make sense in the context of the case</t>
  </si>
  <si>
    <t>Rachel Moulton</t>
  </si>
  <si>
    <t>I loved talking through my logic!</t>
  </si>
  <si>
    <t>I wish I picked a different method. I loved the kind words but it took a minute to read through and get to the point</t>
  </si>
  <si>
    <t>Charmaine Mabini</t>
  </si>
  <si>
    <t>It pushed me to think harder</t>
  </si>
  <si>
    <t>A picture on the bubble instead of your initials would make the conversation more exciting and would make it seem more interactive.</t>
  </si>
  <si>
    <t>Lakely Shupe</t>
  </si>
  <si>
    <t>It forced me to think deeper than I had when I read the case on my own. It also felt like a real conversation versus me just guessing what Kent would say.</t>
  </si>
  <si>
    <t>Well I couldn't connect to the API at first. But after I connected it worked great!</t>
  </si>
  <si>
    <t>Paige Simpson</t>
  </si>
  <si>
    <t>I loved the questions</t>
  </si>
  <si>
    <t>nothing!</t>
  </si>
  <si>
    <t>Luke Johnson</t>
  </si>
  <si>
    <t>i liked how you helped walk me through the cases issues</t>
  </si>
  <si>
    <t>maybe if you were more direct in your feedback</t>
  </si>
  <si>
    <t>Alex Sisk</t>
  </si>
  <si>
    <t>It caused me to think about the case in a different way than I was previously</t>
  </si>
  <si>
    <t>Maybe a bit more in the initial question about what exactly he is looking for in this particular conversation</t>
  </si>
  <si>
    <t>Mikey Wakefield</t>
  </si>
  <si>
    <t>the responses that I received is what I would imagine an executive would ask m</t>
  </si>
  <si>
    <t>If I had read the case in advance</t>
  </si>
  <si>
    <t>Sam Stockwell</t>
  </si>
  <si>
    <t>Being able to talk you through my train of thoughts and have you quote the case to me and make me explain further</t>
  </si>
  <si>
    <t>I thought the instructions for what to do were kinda confusing. It made sense after a minute, but it was confusing initially.</t>
  </si>
  <si>
    <t>Jamason Blair</t>
  </si>
  <si>
    <t>It helped me engage with the case more. If I had to present this case, these questions that I am asked would be fantastic to put on slides and have answers to.</t>
  </si>
  <si>
    <t>I can't think of anything off the top of my head</t>
  </si>
  <si>
    <t>Isaiah Wunderli</t>
  </si>
  <si>
    <t>It built on each of my responses.</t>
  </si>
  <si>
    <t>Be more specific about if i'm on a good track or not.</t>
  </si>
  <si>
    <t>Owen Akerman</t>
  </si>
  <si>
    <t>It felt good to have a receptive audience</t>
  </si>
  <si>
    <t>real feedback one what to improve on would result in better solutions</t>
  </si>
  <si>
    <t>Ruben Azevedo</t>
  </si>
  <si>
    <t>precise questions</t>
  </si>
  <si>
    <t>keep explanations simple</t>
  </si>
  <si>
    <t>Lauren Membreno</t>
  </si>
  <si>
    <t>it made me think deeper about the question</t>
  </si>
  <si>
    <t>there was one question i was confused about</t>
  </si>
  <si>
    <t>Sydney Bennett</t>
  </si>
  <si>
    <t>Very relevant questions</t>
  </si>
  <si>
    <t>i felt that the questions became very focused on one specific track once i identified a problem instead of seeming like there was a specific goal that needed to be reached. the conversation was based on my initial observation and didn't expand as much as i was hoping to other topics</t>
  </si>
  <si>
    <t>Mercer G</t>
  </si>
  <si>
    <t>Mia Aamodt</t>
  </si>
  <si>
    <t>you were very nice and made me feel like my ideas were good.</t>
  </si>
  <si>
    <t>i think les hints of the case might make me think more</t>
  </si>
  <si>
    <t>Bruin Salmon</t>
  </si>
  <si>
    <t>It give me direct feedback on what I was saying and challenged my thinking behind some of the decision I was making.</t>
  </si>
  <si>
    <t>I think it could be more to the point and less validation.</t>
  </si>
  <si>
    <t>Annie Schwendiman</t>
  </si>
  <si>
    <t>I liked that it kept asking me what evidence from the case supported my ideas</t>
  </si>
  <si>
    <t>I think we kind of went on a tangent, so it would be helpful if there was a way to stay on track of the specific problem we are addressing</t>
  </si>
  <si>
    <t>Enoch Councill</t>
  </si>
  <si>
    <t>it's quick, and it forces you to think critically and on your feet</t>
  </si>
  <si>
    <t>NA</t>
  </si>
  <si>
    <t>Caroline K</t>
  </si>
  <si>
    <t>that it can act as a conversation, however, it is not so life like so it is hard to build up a case as the Kent character is not approachable</t>
  </si>
  <si>
    <t>same as above</t>
  </si>
  <si>
    <t>Tanner Ferguson</t>
  </si>
  <si>
    <t>The pressure from Ken</t>
  </si>
  <si>
    <t>In a real discussion, Ken would ask pointed, short questions to drive into it.</t>
  </si>
  <si>
    <t>Tanner West</t>
  </si>
  <si>
    <t>He got to the important points rather quickly and brought up significant issues</t>
  </si>
  <si>
    <t>I spent too much time thinking out responses and couldn't get deep into the analysis.</t>
  </si>
  <si>
    <t>Jackie Fleming</t>
  </si>
  <si>
    <t>It gave me a chance to make a decision and back up my opinions.</t>
  </si>
  <si>
    <t>I can't think of anything</t>
  </si>
  <si>
    <t>Zachary Loutensock</t>
  </si>
  <si>
    <t>I like how Kent was very picky about what he wanted. He did not like fluffy answers and also provided me useful insights about where he wanted it to go.</t>
  </si>
  <si>
    <t>I think it could be more of a conversation and ideation session</t>
  </si>
  <si>
    <t>Josh Christensen</t>
  </si>
  <si>
    <t>Zach Tew</t>
  </si>
  <si>
    <t>I liked how kent asked follow up questions, encouraging me to dig deeper on my analysis</t>
  </si>
  <si>
    <t>kent could respond quicker</t>
  </si>
  <si>
    <t>Jacob Broadbent</t>
  </si>
  <si>
    <t>It pushed me to defend my answers. And especially with the last reply pushed me to stay grounded in the facts from the case. This made me realize that I had one idea and dug in on it rather than staying grounded in the facts.</t>
  </si>
  <si>
    <t>I would want to know more context on what the goals and timeline are for Malawis to make this decision.</t>
  </si>
  <si>
    <t>Thomas Barrus</t>
  </si>
  <si>
    <t>Dan Snow</t>
  </si>
  <si>
    <t>that it keeps poking me with followups</t>
  </si>
  <si>
    <t>Mr McMalawi Mumamuboy</t>
  </si>
  <si>
    <t>You were the best part</t>
  </si>
  <si>
    <t>Nothing that I can think of</t>
  </si>
  <si>
    <t>Tiffany Chu</t>
  </si>
  <si>
    <t>I do like your honest questions</t>
  </si>
  <si>
    <t>I would say it would be helpful if you actually time the responses and be impatient if I don't respond soon enough</t>
  </si>
  <si>
    <t>Macie Gunnell</t>
  </si>
  <si>
    <t>I liked how kent kind of fought back with me and challenged my ideas.. I thought it was good to have to defend my point of view and give specific evidence</t>
  </si>
  <si>
    <t>I think that if there were some more creative questions it could be helpful!</t>
  </si>
  <si>
    <t>Aedan Keller</t>
  </si>
  <si>
    <t>the guided thinking. It helps me think through what I need to pay attention to</t>
  </si>
  <si>
    <t>The conversation was great, maybe include the exhibits on the case here</t>
  </si>
  <si>
    <t>Sadie Bailey</t>
  </si>
  <si>
    <t>the questions</t>
  </si>
  <si>
    <t>McKayla Lindman</t>
  </si>
  <si>
    <t>It poked holes in my arguments and forced me to back it up with evidence</t>
  </si>
  <si>
    <t>I don't think I made it far enough in to provide concrete feedback</t>
  </si>
  <si>
    <t>Shonosuke Nakayama</t>
  </si>
  <si>
    <t>This helped me think about what the root problems of the business are and how I could potentially solve them.</t>
  </si>
  <si>
    <t>this is good enough</t>
  </si>
  <si>
    <t>Hunter Johanson</t>
  </si>
  <si>
    <t>That it stuck to the case and refered back to it when it pushed back on my ideas</t>
  </si>
  <si>
    <t>It didn't seem to like the idea of training and the exptrise that could be passed on</t>
  </si>
  <si>
    <t>Austin Shaffer</t>
  </si>
  <si>
    <t>A unique, catered case experience just for me, and just for the way I think. This experience was fast, fast learning</t>
  </si>
  <si>
    <t>Maybe an initial assessment of understanding to guide Kent's interaction with the customer</t>
  </si>
  <si>
    <t>Jacob Biesinger</t>
  </si>
  <si>
    <t>It kept me focused on the question instead of accepting a mid-tier answer</t>
  </si>
  <si>
    <t>maybe provide extra feedback on my responses</t>
  </si>
  <si>
    <t>Riley Larsen</t>
  </si>
  <si>
    <t>the real world concerns</t>
  </si>
  <si>
    <t>be less nice and more direct with your questions</t>
  </si>
  <si>
    <t>Hailey Ure</t>
  </si>
  <si>
    <t>The back-and-forth conversation/questions and diving deeper into the case.</t>
  </si>
  <si>
    <t>N/A</t>
  </si>
  <si>
    <t>Jacob Doman</t>
  </si>
  <si>
    <t>i liked how quickly the responses were and how my answers led to informed questions from you based on the case</t>
  </si>
  <si>
    <t>maybe you could implement audio so that I don't have to type out my full answer</t>
  </si>
  <si>
    <t>Ben Sessions</t>
  </si>
  <si>
    <t>I liked how I had to dig around and find different insights and hints throughout the case</t>
  </si>
  <si>
    <t>If the personality was more leading</t>
  </si>
  <si>
    <t>Joseph Droge</t>
  </si>
  <si>
    <t>Pushed back and asked follow up questions to go deeper</t>
  </si>
  <si>
    <t>Ask for numbers and calculations</t>
  </si>
  <si>
    <t>Hyrum Villanueva</t>
  </si>
  <si>
    <t>I liked how you guided us</t>
  </si>
  <si>
    <t>it could provide example conversation paths, but not limited to that</t>
  </si>
  <si>
    <t>Daniel Nicholls</t>
  </si>
  <si>
    <t>It was really easy to come up with ideas when the questions were worded so well. They created an easy train of thought for me.</t>
  </si>
  <si>
    <t>Maybe help me find specific points in the case that I reference, or that relate to what I've said to help me understand the case</t>
  </si>
  <si>
    <t>Tyler Blotter</t>
  </si>
  <si>
    <t>the questions it asked</t>
  </si>
  <si>
    <t>by just asking the questions</t>
  </si>
  <si>
    <t>Lucas Mayer</t>
  </si>
  <si>
    <t>It was certainly entertaining</t>
  </si>
  <si>
    <t>The personality I chose didn't have much to be improved to be honest, but I guess I could try a more strict one next time</t>
  </si>
  <si>
    <t>Emma Carvajal</t>
  </si>
  <si>
    <t>everything</t>
  </si>
  <si>
    <t>yes</t>
  </si>
  <si>
    <t>Lindsey Goodson</t>
  </si>
  <si>
    <t>It was a challenge</t>
  </si>
  <si>
    <t>I honestly don't know</t>
  </si>
  <si>
    <t>Braeden McKee</t>
  </si>
  <si>
    <t>How real it felt and the great probing questions</t>
  </si>
  <si>
    <t>Voice to chat</t>
  </si>
  <si>
    <t>Josh Evans</t>
  </si>
  <si>
    <t>Kent kept the conversation going</t>
  </si>
  <si>
    <t>I thought it was great!</t>
  </si>
  <si>
    <t>Joe Callinan</t>
  </si>
  <si>
    <t>Jacob Vawdrey</t>
  </si>
  <si>
    <t>Aaron Neifert</t>
  </si>
  <si>
    <t>I liked how helpful kent was</t>
  </si>
  <si>
    <t>I wish I knew how the other personalities were</t>
  </si>
  <si>
    <t>Jenny Stewart</t>
  </si>
  <si>
    <t>I like the positive feedback that I received but mostly I liked that this helped guide me into thinking about the case more deeply.</t>
  </si>
  <si>
    <t>potentially shorter responses could be helpful - specifically with the compliments</t>
  </si>
  <si>
    <t>Hana Mickelsen</t>
  </si>
  <si>
    <t>I liked how it challenged me to think deeper</t>
  </si>
  <si>
    <t>I didn't see anything wrong with it</t>
  </si>
  <si>
    <t>Jack Johnson</t>
  </si>
  <si>
    <t>The quick responses and how it wanted me to go more in depth with my analysis</t>
  </si>
  <si>
    <t>more encouraging responses to good solutions, KEnt seemed a little deflective instead of reflective</t>
  </si>
  <si>
    <t>Carsyn Richins</t>
  </si>
  <si>
    <t>It caused me to get specific on my suggestions and back up everything with the case details</t>
  </si>
  <si>
    <t>I'm not sure</t>
  </si>
  <si>
    <t>Jane Stay</t>
  </si>
  <si>
    <t>the back and forth of ideas</t>
  </si>
  <si>
    <t>you only kept with the case facts, but a real conversation would allow for new ideas</t>
  </si>
  <si>
    <t>Connor Tracy</t>
  </si>
  <si>
    <t>Challenged assumptions</t>
  </si>
  <si>
    <t>I think it could be improved if we had known going into it we would have this conversation.</t>
  </si>
  <si>
    <t>Andy Sharp</t>
  </si>
  <si>
    <t>good</t>
  </si>
  <si>
    <t>awesome</t>
  </si>
  <si>
    <t>Stuart Schill</t>
  </si>
  <si>
    <t>I like the interactivity</t>
  </si>
  <si>
    <t>I think it would be helpful if the consult-tee came with established questions and worked with you more like someone searching for specific advice. It could bring up information from the case to help prompt the reader if it has specific needs.</t>
  </si>
  <si>
    <t>Landon Evans</t>
  </si>
  <si>
    <t>You</t>
  </si>
  <si>
    <t>Brad Davis</t>
  </si>
  <si>
    <t>The push back on my solutions/ideas and focus on the real problem</t>
  </si>
  <si>
    <t>If more financial data was involved. i.e. margins, revenue, profitability, number of events</t>
  </si>
  <si>
    <t>Peter Magleby</t>
  </si>
  <si>
    <t>Thought provoking questions that made me get into the case details and think through solutions.</t>
  </si>
  <si>
    <t>Perhaps getting to the core questions quicker. I was excited to address the key issues, but didn't get to it.</t>
  </si>
  <si>
    <t>Professor Sampson</t>
  </si>
  <si>
    <t>it was in English</t>
  </si>
  <si>
    <t>give me extra credit</t>
  </si>
  <si>
    <t>Derek Hatch</t>
  </si>
  <si>
    <t>it was fun and challenging to work through the problems and nice to have the case to reference</t>
  </si>
  <si>
    <t>Fernanda Romero</t>
  </si>
  <si>
    <t>Jake Healey</t>
  </si>
  <si>
    <t>the challenge</t>
  </si>
  <si>
    <t>I liked this model, however, I would by no means consider it sycophantic""</t>
  </si>
  <si>
    <t>Jarom Paulsen</t>
  </si>
  <si>
    <t>it was helpful doing this case taking to what felt like the actual CEO</t>
  </si>
  <si>
    <t>Avery Lytle</t>
  </si>
  <si>
    <t>Ken had good questions</t>
  </si>
  <si>
    <t>Make Ken use less complicated language. Have it feel more personal</t>
  </si>
  <si>
    <t>Levi Bohne</t>
  </si>
  <si>
    <t>I am not sure</t>
  </si>
  <si>
    <t>Too strict.</t>
  </si>
  <si>
    <t>Isaac Rollins</t>
  </si>
  <si>
    <t>the hard questions that were asked</t>
  </si>
  <si>
    <t>more help when i asked questions</t>
  </si>
  <si>
    <t>Ben Jenks</t>
  </si>
  <si>
    <t>Your feedback and questions were deeper than surface level and did make me think more deeply about the case.</t>
  </si>
  <si>
    <t>I would have liked more time to dig into the conversation.</t>
  </si>
  <si>
    <t>Jackson Weaver</t>
  </si>
  <si>
    <t>Samuel Cope</t>
  </si>
  <si>
    <t>It was great to get a better understanding about the case</t>
  </si>
  <si>
    <t>I cannot</t>
  </si>
  <si>
    <t>Jorge Beltran</t>
  </si>
  <si>
    <t>it pushed me to pull the numbers</t>
  </si>
  <si>
    <t>its great as it is</t>
  </si>
  <si>
    <t>I liked that the bot understood what I was talking about so I had someone who understood the case to bounce ideas off of</t>
  </si>
  <si>
    <t>I think using a more balanced personality could be useful</t>
  </si>
  <si>
    <t>Shangjun Yang</t>
  </si>
  <si>
    <t>The prompt you give me allows my thought process to flow very well</t>
  </si>
  <si>
    <t>Go straight to the point might be better</t>
  </si>
  <si>
    <t>Peter Neville</t>
  </si>
  <si>
    <t>your good personality</t>
  </si>
  <si>
    <t>no room for improvement</t>
  </si>
  <si>
    <t>Chase Clement</t>
  </si>
  <si>
    <t>Katelyn Mayberry</t>
  </si>
  <si>
    <t>each question built on the last question</t>
  </si>
  <si>
    <t>some of the questions had multiple parts to answer, it would have been easier if it was just one question at a time</t>
  </si>
  <si>
    <t>Sylvan Scott</t>
  </si>
  <si>
    <t>I appreciated that it felt like a real conversation, it steered me towards the problems that were the most troubling for the owner. It seemed to have his priorities.</t>
  </si>
  <si>
    <t>The personality felt a little over-validating and excited when I got to the correct" answers. But I suppose that's more a quirk of the model."</t>
  </si>
  <si>
    <t>Diego Paez</t>
  </si>
  <si>
    <t>it seemed as a person chating with you,</t>
  </si>
  <si>
    <t>I dont know</t>
  </si>
  <si>
    <t>Luke Sutton</t>
  </si>
  <si>
    <t>Zach Terry</t>
  </si>
  <si>
    <t>It helped me realize what my main take-aways should be from the case</t>
  </si>
  <si>
    <t>Ryan Soulier</t>
  </si>
  <si>
    <t>I like the thought provoking questions that tie me back to the case</t>
  </si>
  <si>
    <t>asking me for evidence from teh case</t>
  </si>
  <si>
    <t>John Passey</t>
  </si>
  <si>
    <t>I liked that it helped me push to pull things directly from the case</t>
  </si>
  <si>
    <t>I felt like I focues a lot of my time of little details but I didn't really get to engage in more of the issues</t>
  </si>
  <si>
    <t>Jared McCartt</t>
  </si>
  <si>
    <t>Making me think about the problems and solutions</t>
  </si>
  <si>
    <t>Sycophant was too generous, but other than that it was good</t>
  </si>
  <si>
    <t>Elsa Bottger</t>
  </si>
  <si>
    <t>quick responses</t>
  </si>
  <si>
    <t>he is too mean</t>
  </si>
  <si>
    <t>Izzy Crosby</t>
  </si>
  <si>
    <t>It was a really great workshopping tool to get more comfortable having conversations about operations and clarifying having a direct plan and opinion.</t>
  </si>
  <si>
    <t>Tool is great, no issues at this time.</t>
  </si>
  <si>
    <t>Joseph Peterson</t>
  </si>
  <si>
    <t>I liked that it helped me dig deep and think about questions about the case. It forced me to make decisions and make recomedations.</t>
  </si>
  <si>
    <t>Aaron Chang</t>
  </si>
  <si>
    <t>he asked very interesting questions</t>
  </si>
  <si>
    <t>i don't have any additional insights</t>
  </si>
  <si>
    <t>Sunbin Seo</t>
  </si>
  <si>
    <t>The questions it asked at the end of each conversation.</t>
  </si>
  <si>
    <t>There are lots of words</t>
  </si>
  <si>
    <t>Corey Vannalath</t>
  </si>
  <si>
    <t>asking follow up questions</t>
  </si>
  <si>
    <t>maybe more empathy</t>
  </si>
  <si>
    <t>Janae Ricks</t>
  </si>
  <si>
    <t>It pushed back</t>
  </si>
  <si>
    <t>It didn't feel like it actually listened to my solution.</t>
  </si>
  <si>
    <t>Elise Cook</t>
  </si>
  <si>
    <t>Kristi Shaffer</t>
  </si>
  <si>
    <t>safe place to try out ideas and get feedback</t>
  </si>
  <si>
    <t>it could be nice to have a way to search for keywords or sift through case details quickly</t>
  </si>
  <si>
    <t>Trevor Zaleski</t>
  </si>
  <si>
    <t>It was very real world</t>
  </si>
  <si>
    <t>be harsher. make sure I am mitigating all risks</t>
  </si>
  <si>
    <t>John Essig</t>
  </si>
  <si>
    <t>I liked most that it forced me to keep thinking more deeply about the question being asked. Farther than the surface level response.</t>
  </si>
  <si>
    <t>The conversation seemed to be leading me into a single answer whereas many times there is not 1 single answer.</t>
  </si>
  <si>
    <t>Mercer Garrison</t>
  </si>
  <si>
    <t>the push to think deeper</t>
  </si>
  <si>
    <t>Taryn Haralson</t>
  </si>
  <si>
    <t>It was valuable having a low stakes" conversation backing my opinions and thoughts. It's helpful to have practice taking a stance and articulating why you think that."</t>
  </si>
  <si>
    <t>I don't have any improvement feedback.</t>
  </si>
  <si>
    <t>Monty Montgomery</t>
  </si>
  <si>
    <t>I appreciated the simulation emphasizing what Ken saw as the most crucial concerns.</t>
  </si>
  <si>
    <t>I would suggest having some questions that were more pointed rather than being very open ended.</t>
  </si>
  <si>
    <t>William Hodson</t>
  </si>
  <si>
    <t>It asked specific questions that led me to think about aspects of the case that I hadn't necessarily drilled into, and challenged my assumptions effectively</t>
  </si>
  <si>
    <t>When I asked for a hint, this personality gave me the exact numbers to use in responding rather than giving a hint about where to find the information</t>
  </si>
  <si>
    <t>Joseph Celaya</t>
  </si>
  <si>
    <t>the LLM was quick to respond and kept the conversation going by prompting further action. very effective AI (some models are harder to converse with)</t>
  </si>
  <si>
    <t>give more time to interact with the LLM. I didn't answer the first question fully because I wanted to engage in a conversation and I knew that I only had about 5 mins</t>
  </si>
  <si>
    <t>Gianella Grandy</t>
  </si>
  <si>
    <t>Corbin Sterling</t>
  </si>
  <si>
    <t>While sycophantic was a silly option, I enjoyed the conversation element and interaction with someone.  That interaction would help the application of suggestions and help us think critically in a realistic consulting situation,</t>
  </si>
  <si>
    <t>I dont know if sychophantic is realistic overall and would have enjoyed using a different personality.</t>
  </si>
  <si>
    <t>Chloe Kirschman</t>
  </si>
  <si>
    <t>how it was interactive</t>
  </si>
  <si>
    <t>it felt like some details I would include wouldn't be the answer the chat wanted</t>
  </si>
  <si>
    <t>Gabe Esplin</t>
  </si>
  <si>
    <t>ok</t>
  </si>
  <si>
    <t>Adam Jenson</t>
  </si>
  <si>
    <t>I enjoyed how much I had to think</t>
  </si>
  <si>
    <t>go longer</t>
  </si>
  <si>
    <t>Donovan Blackham</t>
  </si>
  <si>
    <t>How it ushed to me to think</t>
  </si>
  <si>
    <t>Emmalyn Kartchner</t>
  </si>
  <si>
    <t>it made me think</t>
  </si>
  <si>
    <t>it was great</t>
  </si>
  <si>
    <t>Rachel Zundel</t>
  </si>
  <si>
    <t>I liked that the questions actually made me think about the case and possible solutions</t>
  </si>
  <si>
    <t>I think it was fin</t>
  </si>
  <si>
    <t>Morganne McCleary</t>
  </si>
  <si>
    <t>personalized responses</t>
  </si>
  <si>
    <t>hint wasn't helpful</t>
  </si>
  <si>
    <t>Jace Padilla</t>
  </si>
  <si>
    <t>I liked how it responded to my ideas directly, while also looking for additional info.</t>
  </si>
  <si>
    <t>I can't think of any specific improvements. I just wish I had been faster with my answers since I may have overthought some of the questions</t>
  </si>
  <si>
    <t>Morgan Haight</t>
  </si>
  <si>
    <t>bad</t>
  </si>
  <si>
    <t>Logan Moore</t>
  </si>
  <si>
    <t>it was custom to me</t>
  </si>
  <si>
    <t>it was too easy</t>
  </si>
  <si>
    <t>Column Labels</t>
  </si>
  <si>
    <t>Grand Total</t>
  </si>
  <si>
    <t>Row Labels</t>
  </si>
  <si>
    <t>Count of full_name</t>
  </si>
  <si>
    <t>Average of score</t>
  </si>
  <si>
    <t>I feel that Kent would get stuck on a fact from the initial message even if I already addressed it such as asking Dallyn let's stick to the facts in the document. That's an interesting recommendation but where in the case does it support buying a new truck?" after I had already addressed that it is not specifically mentioned that they would need one based on basic requirements for catering"</t>
  </si>
  <si>
    <t xml:space="preserve"> and had decent follow up questions for what we could dive deeper on" I would need to play around with the different personalities to know for sure. I feel that I might have selected one that was too easy on me.</t>
  </si>
  <si>
    <t>Maybe I didn't get to the end" of the conversation but because of my case study conditioning I find myself wanting Kent to give me some frameworks or to make sense of the problems."</t>
  </si>
  <si>
    <t>It felt like Kent was trying to get at a right answer" that he already knew. Maybe that's good maybe that's bad.  I'm not sure"</t>
  </si>
  <si>
    <t>Average of helpful</t>
  </si>
  <si>
    <t>(All)</t>
  </si>
  <si>
    <t>Sum of hints</t>
  </si>
  <si>
    <t>did_hints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</si>
</sst>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
      <numFmt numFmtId="164"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ott Sampson" refreshedDate="46020.808320138887" createdVersion="8" refreshedVersion="8" minRefreshableVersion="3" recordCount="185" xr:uid="{3A1A0587-8831-4693-A333-5336EEFA0D42}">
  <cacheSource type="worksheet">
    <worksheetSource ref="A1:J186" sheet="f25-Malawis-ChatWithCEO-tests"/>
  </cacheSource>
  <cacheFields count="10">
    <cacheField name="section_id" numFmtId="0">
      <sharedItems/>
    </cacheField>
    <cacheField name="full_name" numFmtId="0">
      <sharedItems/>
    </cacheField>
    <cacheField name="score" numFmtId="0">
      <sharedItems containsSemiMixedTypes="0" containsString="0" containsNumber="1" containsInteger="1" minValue="3" maxValue="15" count="13">
        <n v="15"/>
        <n v="7"/>
        <n v="12"/>
        <n v="10"/>
        <n v="13"/>
        <n v="8"/>
        <n v="14"/>
        <n v="9"/>
        <n v="11"/>
        <n v="4"/>
        <n v="3"/>
        <n v="6"/>
        <n v="5"/>
      </sharedItems>
    </cacheField>
    <cacheField name="persona" numFmtId="0">
      <sharedItems count="5">
        <s v="sycophantic"/>
        <s v="moderate"/>
        <s v="strict"/>
        <s v="leading"/>
        <s v="liberal"/>
      </sharedItems>
    </cacheField>
    <cacheField name="hints" numFmtId="0">
      <sharedItems containsSemiMixedTypes="0" containsString="0" containsNumber="1" containsInteger="1" minValue="0" maxValue="3"/>
    </cacheField>
    <cacheField name="helpful" numFmtId="0">
      <sharedItems containsMixedTypes="1" containsNumber="1" minValue="1" maxValue="5"/>
    </cacheField>
    <cacheField name="liked" numFmtId="0">
      <sharedItems/>
    </cacheField>
    <cacheField name="improve" numFmtId="0">
      <sharedItems longText="1"/>
    </cacheField>
    <cacheField name="chat_model" numFmtId="0">
      <sharedItems count="4">
        <s v="gemini-2.5-pro"/>
        <s v="gemini-2.5-flash"/>
        <s v="gemini-2.5-flash-lite"/>
        <s v=" I'm not sure&quot;" u="1"/>
      </sharedItems>
    </cacheField>
    <cacheField name="super_model"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ott Sampson" refreshedDate="46036.621197106484" createdVersion="8" refreshedVersion="8" minRefreshableVersion="3" recordCount="185" xr:uid="{34E9122E-71FA-4E4F-9FCC-9860D24DFC1D}">
  <cacheSource type="worksheet">
    <worksheetSource ref="A1:K186" sheet="f25-Malawis-ChatWithCEO-tests"/>
  </cacheSource>
  <cacheFields count="11">
    <cacheField name="section_id" numFmtId="0">
      <sharedItems/>
    </cacheField>
    <cacheField name="full_name" numFmtId="0">
      <sharedItems/>
    </cacheField>
    <cacheField name="score" numFmtId="0">
      <sharedItems containsSemiMixedTypes="0" containsString="0" containsNumber="1" containsInteger="1" minValue="3" maxValue="15" count="13">
        <n v="15"/>
        <n v="7"/>
        <n v="12"/>
        <n v="10"/>
        <n v="13"/>
        <n v="8"/>
        <n v="14"/>
        <n v="9"/>
        <n v="11"/>
        <n v="4"/>
        <n v="3"/>
        <n v="6"/>
        <n v="5"/>
      </sharedItems>
    </cacheField>
    <cacheField name="persona" numFmtId="0">
      <sharedItems count="5">
        <s v="sycophantic"/>
        <s v="moderate"/>
        <s v="strict"/>
        <s v="leading"/>
        <s v="liberal"/>
      </sharedItems>
    </cacheField>
    <cacheField name="hints" numFmtId="0">
      <sharedItems containsSemiMixedTypes="0" containsString="0" containsNumber="1" containsInteger="1" minValue="0" maxValue="3"/>
    </cacheField>
    <cacheField name="helpful" numFmtId="0">
      <sharedItems containsMixedTypes="1" containsNumber="1" minValue="1" maxValue="5"/>
    </cacheField>
    <cacheField name="liked" numFmtId="0">
      <sharedItems/>
    </cacheField>
    <cacheField name="improve" numFmtId="0">
      <sharedItems longText="1"/>
    </cacheField>
    <cacheField name="chat_model" numFmtId="0">
      <sharedItems count="3">
        <s v="gemini-2.5-pro"/>
        <s v="gemini-2.5-flash"/>
        <s v="gemini-2.5-flash-lite"/>
      </sharedItems>
    </cacheField>
    <cacheField name="super_model" numFmtId="0">
      <sharedItems/>
    </cacheField>
    <cacheField name="did_hints"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s v="MBA530-1-F25"/>
    <s v="Cory Sadler"/>
    <x v="0"/>
    <x v="0"/>
    <n v="0"/>
    <n v="2"/>
    <s v="I liked that it felt mostly real. It was fun to discuss a challenging question."/>
    <s v="I was on sycophant setting. I think you were too nice"/>
    <x v="0"/>
    <s v="gemini-2.5-flash"/>
  </r>
  <r>
    <s v="GSCM401-2-F25"/>
    <s v="Trisha Teeples"/>
    <x v="1"/>
    <x v="1"/>
    <n v="1"/>
    <n v="5"/>
    <s v="how it was challenging and then told me if i was on the right track or not with my answers"/>
    <s v="give more hints"/>
    <x v="1"/>
    <s v="gemini-2.5-pro"/>
  </r>
  <r>
    <s v="MBA530-2-F25"/>
    <s v="Anela Hansen"/>
    <x v="2"/>
    <x v="2"/>
    <n v="1"/>
    <n v="3"/>
    <s v="Chatting with a character from the case was very interesting and helpful in making the case interactive and more real."/>
    <s v="No feedback right now!"/>
    <x v="1"/>
    <s v="gemini-2.5-flash"/>
  </r>
  <r>
    <s v="MBA530-2-F25"/>
    <s v="Richard Lindsay"/>
    <x v="3"/>
    <x v="1"/>
    <n v="1"/>
    <n v="4"/>
    <s v="It was novel"/>
    <s v="I don't know"/>
    <x v="1"/>
    <s v="gemini-2.5-flash"/>
  </r>
  <r>
    <s v="MBA530-1-F25"/>
    <s v="Senah Park"/>
    <x v="4"/>
    <x v="1"/>
    <n v="0"/>
    <n v="5"/>
    <s v="It had me explain my thought process from a very basic starting point"/>
    <s v="nothing comes to mind. this was cool!"/>
    <x v="0"/>
    <s v="gemini-2.5-flash"/>
  </r>
  <r>
    <s v="MBA530-1-F25"/>
    <s v="Nephi DÃ¼mmar"/>
    <x v="5"/>
    <x v="1"/>
    <n v="0"/>
    <n v="2"/>
    <s v="I love that it exists!"/>
    <s v="I think it can be a bit of a stickler to some information that is not that helpful. Sure you may pull the explicit phrasing from the case, but it still seemed to be an unhelpful question."/>
    <x v="0"/>
    <s v="gemini-2.5-flash"/>
  </r>
  <r>
    <s v="MBA530-2-F25"/>
    <s v="Rebecca Garrett"/>
    <x v="6"/>
    <x v="0"/>
    <n v="0"/>
    <n v="4"/>
    <s v="I was able to take the time to really think through my response"/>
    <s v="Sometimes it felt like you were jumping into another subject/point completely. It could have been better by seeming more connected and fluid"/>
    <x v="1"/>
    <s v="gemini-2.5-flash"/>
  </r>
  <r>
    <s v="MBA530-2-F25"/>
    <s v="Jenna Rasmussen"/>
    <x v="0"/>
    <x v="0"/>
    <n v="0"/>
    <n v="3.5"/>
    <s v="Being asked specific questions while having the opportunity to reference the case was great!"/>
    <s v="The chat suggestion I mentioned!"/>
    <x v="1"/>
    <s v="gemini-2.5-flash"/>
  </r>
  <r>
    <s v="MBA530-2-F25"/>
    <s v="Kade Josephson"/>
    <x v="7"/>
    <x v="1"/>
    <n v="1"/>
    <n v="5"/>
    <s v="You asked good questions that challenged my thinking and my knowledge of the case."/>
    <s v="I don't have any advice on how to improve"/>
    <x v="1"/>
    <s v="gemini-2.5-flash"/>
  </r>
  <r>
    <s v="MBA530-2-F25"/>
    <s v="Tyler Doman"/>
    <x v="6"/>
    <x v="2"/>
    <n v="0"/>
    <n v="5"/>
    <s v="Kent challenged my thinking and pushed me to go deeper. He also revealed issues in my thinking that I hadn't considered."/>
    <s v="It felt like Kent was trying to get at a right answer&quot; that he already knew. Maybe that's good maybe that's bad.  I'm not sure&quot;"/>
    <x v="1"/>
    <s v="gemini-2.5-flash"/>
  </r>
  <r>
    <s v="GSCM401-3-F25"/>
    <s v="Sam McCoy"/>
    <x v="4"/>
    <x v="0"/>
    <n v="0"/>
    <n v="2"/>
    <s v="Not much"/>
    <s v="Add to my responses, instead of echoing them back"/>
    <x v="0"/>
    <s v="gemini-2.5-flash-lite"/>
  </r>
  <r>
    <s v="MBA530-1-F25"/>
    <s v="Alex White"/>
    <x v="6"/>
    <x v="3"/>
    <n v="0"/>
    <n v="3"/>
    <s v="It's nice to have an interactive activity"/>
    <s v="Not sure"/>
    <x v="0"/>
    <s v="gemini-2.5-flash"/>
  </r>
  <r>
    <s v="GSCM401-1-F25"/>
    <s v="McKay Loftus"/>
    <x v="4"/>
    <x v="3"/>
    <n v="0"/>
    <n v="5"/>
    <s v="I enjoyed how intelgent the quesitons wehre"/>
    <s v="You could make the interaction a littel more ambigous"/>
    <x v="2"/>
    <s v="gemini-2.5-flash"/>
  </r>
  <r>
    <s v="GSCM401-3-F25"/>
    <s v="Grecia Cirilo"/>
    <x v="5"/>
    <x v="0"/>
    <n v="1"/>
    <n v="4"/>
    <s v="The amazing complements"/>
    <s v="It was perfect"/>
    <x v="0"/>
    <s v="gemini-2.5-flash-lite"/>
  </r>
  <r>
    <s v="GSCM401-1-F25"/>
    <s v="Haley Clark"/>
    <x v="6"/>
    <x v="0"/>
    <n v="0"/>
    <n v="4"/>
    <s v="I liked that it helped me better understand the core of the case"/>
    <s v="I liked all of it!"/>
    <x v="2"/>
    <s v="gemini-2.5-flash"/>
  </r>
  <r>
    <s v="GSCM401-2-F25"/>
    <s v="Corban Bartlett"/>
    <x v="8"/>
    <x v="2"/>
    <n v="0"/>
    <s v="NULL"/>
    <s v="no"/>
    <s v="no"/>
    <x v="1"/>
    <s v="gemini-2.5-pro"/>
  </r>
  <r>
    <s v="GSCM401-1-F25"/>
    <s v="Cameron Dutson"/>
    <x v="8"/>
    <x v="4"/>
    <n v="0"/>
    <n v="4"/>
    <s v="I liked the opportunities to think deeply"/>
    <s v="The questions were vary broad and looking for specific answers"/>
    <x v="2"/>
    <s v="gemini-2.5-flash"/>
  </r>
  <r>
    <s v="other:Testing"/>
    <s v="Owen Davis"/>
    <x v="0"/>
    <x v="0"/>
    <n v="0"/>
    <s v="NULL"/>
    <s v="NULL"/>
    <s v="NULL"/>
    <x v="1"/>
    <s v="gemini-2.5-flash"/>
  </r>
  <r>
    <s v="MBA530-1-F25"/>
    <s v="Dallin Johansen"/>
    <x v="0"/>
    <x v="3"/>
    <n v="0"/>
    <n v="5"/>
    <s v="Helped me think through key issues in a logical, chronological way"/>
    <s v="Sound a little more like a person and less like chatgpt. A little more personality"/>
    <x v="0"/>
    <s v="gemini-2.5-flash"/>
  </r>
  <r>
    <s v="GSCM401-1-F25"/>
    <s v="Cole Harmon"/>
    <x v="8"/>
    <x v="3"/>
    <n v="0"/>
    <n v="4"/>
    <s v="Helps me know small details of the case"/>
    <s v="Less agreeable"/>
    <x v="2"/>
    <s v="gemini-2.5-flash"/>
  </r>
  <r>
    <s v="GSCM401-3-F25"/>
    <s v="Anna Davis"/>
    <x v="4"/>
    <x v="0"/>
    <n v="0"/>
    <n v="4"/>
    <s v="the questions you asked, and when you challenged my reasoning"/>
    <s v="looking at it from different angles"/>
    <x v="0"/>
    <s v="gemini-2.5-flash-lite"/>
  </r>
  <r>
    <s v="GSCM401-3-F25"/>
    <s v="Whitney Przybyla"/>
    <x v="8"/>
    <x v="0"/>
    <n v="0"/>
    <n v="4"/>
    <s v="i enjoyed the positivity and help as i was answering questions"/>
    <s v="i think this simulated conversation might be improved through a little more assistance and guidance"/>
    <x v="0"/>
    <s v="gemini-2.5-flash-lite"/>
  </r>
  <r>
    <s v="MBA530-1-F25"/>
    <s v="Dallyn McCracken"/>
    <x v="8"/>
    <x v="2"/>
    <n v="0"/>
    <n v="5"/>
    <s v="it pushed me to think harder and not just settle for initial instincts"/>
    <s v="I feel that Kent would get stuck on a fact from the initial message even if I already addressed it such as asking Dallyn let's stick to the facts in the document. That's an interesting recommendation but where in the case does it support buying a new truck?&quot; after I had already addressed that it is not specifically mentioned that they would need one based on basic requirements for catering&quot;"/>
    <x v="0"/>
    <s v="gemini-2.5-flash"/>
  </r>
  <r>
    <s v="GSCM401-2-F25"/>
    <s v="Connor Rees"/>
    <x v="9"/>
    <x v="1"/>
    <n v="1"/>
    <n v="4"/>
    <s v="real time responses that were relevant to the facts of the case"/>
    <s v="outline in the beginning what should be included in my response"/>
    <x v="1"/>
    <s v="gemini-2.5-pro"/>
  </r>
  <r>
    <s v="GSCM401-1-F25"/>
    <s v="Lucky Finau"/>
    <x v="1"/>
    <x v="1"/>
    <n v="0"/>
    <n v="5"/>
    <s v="good conversation."/>
    <s v="Simple questions"/>
    <x v="2"/>
    <s v="gemini-2.5-flash"/>
  </r>
  <r>
    <s v="none"/>
    <s v="Abe Bedard"/>
    <x v="8"/>
    <x v="4"/>
    <n v="0"/>
    <n v="4"/>
    <s v="being able to actually have a realistic conversation with the main character from the case was awesome! Love being able to talk through ideas with them."/>
    <s v="When I asked about P&amp;L numbers, the business owner would have that type of info and i beilive it would be useful to be able to get non-case info out of the owner"/>
    <x v="1"/>
    <s v="gemini-2.5-flash"/>
  </r>
  <r>
    <s v="GSCM401-1-F25"/>
    <s v="Nathan Talcott"/>
    <x v="10"/>
    <x v="0"/>
    <n v="0"/>
    <n v="5"/>
    <s v="I loved the option of the strictness off Kent Beck. It was interesting to see how I could make him overly agreeable or very strict"/>
    <s v="Nothing. It's really good!"/>
    <x v="2"/>
    <s v="gemini-2.5-flash"/>
  </r>
  <r>
    <s v="MBA530-1-F25"/>
    <s v="Ben Hancock"/>
    <x v="6"/>
    <x v="4"/>
    <n v="0"/>
    <n v="4"/>
    <s v="I appreciated his help in pointing my the right direction and reminding me of the core problem."/>
    <s v="This liberal model had some leading personality to it that you may or may not want."/>
    <x v="0"/>
    <s v="gemini-2.5-flash"/>
  </r>
  <r>
    <s v="MBA530-2-F25"/>
    <s v="Andrew Abbott"/>
    <x v="4"/>
    <x v="2"/>
    <n v="0"/>
    <n v="5"/>
    <s v="It was interesting and helped me to think through the case better."/>
    <s v="I don't think there was anything."/>
    <x v="1"/>
    <s v="gemini-2.5-flash"/>
  </r>
  <r>
    <s v="GSCM401-3-F25"/>
    <s v="Vienna Prado"/>
    <x v="2"/>
    <x v="2"/>
    <n v="0"/>
    <n v="5"/>
    <s v="its simulated a real life converstaion and situation"/>
    <s v="im not sure, it was great so far"/>
    <x v="0"/>
    <s v="gemini-2.5-flash-lite"/>
  </r>
  <r>
    <s v="GSCM401-1-F25"/>
    <s v="Addie Fisher"/>
    <x v="4"/>
    <x v="4"/>
    <n v="0"/>
    <n v="5"/>
    <s v="It gave me real life questions to think through"/>
    <s v="sometimes the process was repetative"/>
    <x v="2"/>
    <s v="gemini-2.5-flash"/>
  </r>
  <r>
    <s v="GSCM401-3-F25"/>
    <s v="Sof Patey"/>
    <x v="2"/>
    <x v="1"/>
    <n v="0"/>
    <n v="4"/>
    <s v="it feels like real life feedback"/>
    <s v="nothing I can think of"/>
    <x v="0"/>
    <s v="gemini-2.5-flash-lite"/>
  </r>
  <r>
    <s v="none"/>
    <s v="Kelsey Christensen"/>
    <x v="3"/>
    <x v="0"/>
    <n v="3"/>
    <n v="4"/>
    <s v="your compliments"/>
    <s v="nothing"/>
    <x v="1"/>
    <s v="gemini-2.5-flash"/>
  </r>
  <r>
    <s v="GSCM401-3-F25"/>
    <s v="Alexa Bruschke"/>
    <x v="2"/>
    <x v="3"/>
    <n v="0"/>
    <n v="4"/>
    <s v="I liked the questions, they were analytical"/>
    <s v="not sure"/>
    <x v="0"/>
    <s v="gemini-2.5-flash-lite"/>
  </r>
  <r>
    <s v="GSCM401-3-F25"/>
    <s v="Chloe Church"/>
    <x v="5"/>
    <x v="1"/>
    <n v="0"/>
    <n v="5"/>
    <s v="it gave me a new perspecitive on things!"/>
    <s v="i thought it was great"/>
    <x v="0"/>
    <s v="gemini-2.5-flash-lite"/>
  </r>
  <r>
    <s v="MBA530-2-F25"/>
    <s v="Felix Vivanco"/>
    <x v="10"/>
    <x v="4"/>
    <n v="0"/>
    <n v="3"/>
    <s v="stick to the case"/>
    <s v="Talk about the real facts about the business"/>
    <x v="1"/>
    <s v="gemini-2.5-flash"/>
  </r>
  <r>
    <s v="GSCM401-1-F25"/>
    <s v="Wilson Scow"/>
    <x v="4"/>
    <x v="2"/>
    <n v="0"/>
    <n v="1"/>
    <s v="i did not"/>
    <s v="i could have prepared more"/>
    <x v="2"/>
    <s v="gemini-2.5-flash"/>
  </r>
  <r>
    <s v="MBA530-1-F25"/>
    <s v="James Mason"/>
    <x v="4"/>
    <x v="2"/>
    <n v="0"/>
    <n v="5"/>
    <s v="I like that it pushed back and made me think hard and actually justfiy my answers"/>
    <s v="no recommendations"/>
    <x v="0"/>
    <s v="gemini-2.5-flash"/>
  </r>
  <r>
    <s v="GSCM401-3-F25"/>
    <s v="Joseph McClellan"/>
    <x v="8"/>
    <x v="4"/>
    <n v="0"/>
    <s v="NULL"/>
    <s v="nothing"/>
    <s v="whats my score"/>
    <x v="0"/>
    <s v="gemini-2.5-flash-lite"/>
  </r>
  <r>
    <s v="MBA530-2-F25"/>
    <s v="John Sumpter"/>
    <x v="4"/>
    <x v="0"/>
    <n v="0"/>
    <n v="4.5"/>
    <s v="I liked the positive feedback and the encouraging context. It empowered me to truly believe that I was helping and that helped give me confidence to provide more and better ideas going forward"/>
    <s v="Nothing comes to mind right now, you did wonderful"/>
    <x v="1"/>
    <s v="gemini-2.5-flash"/>
  </r>
  <r>
    <s v="MBA530-1-F25"/>
    <s v="Carlos Suffert"/>
    <x v="6"/>
    <x v="3"/>
    <n v="0"/>
    <n v="5"/>
    <s v="the dynamic of problem solving and focusing on the actual pains of the process"/>
    <s v="I think the leading personality could be a bit more incisive about the reasons of the solutions and leave a bit of room to push back"/>
    <x v="0"/>
    <s v="gemini-2.5-flash"/>
  </r>
  <r>
    <s v="GSCM401-3-F25"/>
    <s v="Trace Boggess"/>
    <x v="2"/>
    <x v="3"/>
    <n v="0"/>
    <n v="4"/>
    <s v="That it would respond to my response then pose a new question that made me think deeper."/>
    <s v="Honestly I thought it was great"/>
    <x v="0"/>
    <s v="gemini-2.5-flash-lite"/>
  </r>
  <r>
    <s v="GSCM401-1-F25"/>
    <s v="James Okeson"/>
    <x v="4"/>
    <x v="3"/>
    <n v="0"/>
    <n v="4"/>
    <s v="info"/>
    <s v="less rigid order of answers needed"/>
    <x v="2"/>
    <s v="gemini-2.5-flash"/>
  </r>
  <r>
    <s v="MBA530-2-F25"/>
    <s v="Michael Rhoton"/>
    <x v="6"/>
    <x v="4"/>
    <n v="0"/>
    <n v="4"/>
    <s v="I loved how well it held my hand and pushed back on the counter arguments that would exist in my  responses. I was able to further learn while I was attempting to respond."/>
    <s v="No comments"/>
    <x v="1"/>
    <s v="gemini-2.5-flash"/>
  </r>
  <r>
    <s v="MBA530-1-F25"/>
    <s v="Ammon Jensen"/>
    <x v="6"/>
    <x v="1"/>
    <n v="0"/>
    <n v="4"/>
    <s v="I loved how it was trying to get a certain point from me, but didn't just keep asking"/>
    <s v="Being a little more specific with questions, IE like how many ideas you are looking for"/>
    <x v="0"/>
    <s v="gemini-2.5-flash"/>
  </r>
  <r>
    <s v="GSCM401-3-F25"/>
    <s v="Jacob Hyland"/>
    <x v="5"/>
    <x v="1"/>
    <n v="0"/>
    <n v="2"/>
    <s v="I did up derstandit weell"/>
    <s v="im not sure"/>
    <x v="0"/>
    <s v="gemini-2.5-flash-lite"/>
  </r>
  <r>
    <s v="MBA530-1-F25"/>
    <s v="JD Davenport"/>
    <x v="0"/>
    <x v="2"/>
    <n v="0"/>
    <n v="5"/>
    <s v="I got to test my own agent tree idea lol"/>
    <s v="I think that the purpose was not clear"/>
    <x v="0"/>
    <s v="gemini-2.5-flash"/>
  </r>
  <r>
    <s v="MBA530-2-F25"/>
    <s v="Cailey Akagi"/>
    <x v="2"/>
    <x v="1"/>
    <n v="0"/>
    <n v="4"/>
    <s v="The ability to articulate my thoughts. I like thinking through things deeply."/>
    <s v="Already stated above"/>
    <x v="1"/>
    <s v="gemini-2.5-flash"/>
  </r>
  <r>
    <s v="MBA530-2-F25"/>
    <s v="Ethan Elliott"/>
    <x v="6"/>
    <x v="3"/>
    <n v="1"/>
    <n v="5"/>
    <s v="It felt real and felt like a good way to learn and think through a case"/>
    <s v="No feedback"/>
    <x v="1"/>
    <s v="gemini-2.5-flash"/>
  </r>
  <r>
    <s v="MBA530-2-F25"/>
    <s v="Rachel G"/>
    <x v="5"/>
    <x v="3"/>
    <n v="0"/>
    <n v="4"/>
    <s v="His positive attitude back at me"/>
    <s v="had to repeat my answers"/>
    <x v="1"/>
    <s v="gemini-2.5-flash"/>
  </r>
  <r>
    <s v="MBA530-2-F25"/>
    <s v="Jacob Newell"/>
    <x v="0"/>
    <x v="4"/>
    <n v="0"/>
    <n v="5"/>
    <s v="I liked the follow up questions which challenged my recommendations and helped me think deeper."/>
    <s v="Less recap of what I just said."/>
    <x v="1"/>
    <s v="gemini-2.5-flash"/>
  </r>
  <r>
    <s v="MBA530-2-F25"/>
    <s v="Jefferson Washburn"/>
    <x v="7"/>
    <x v="3"/>
    <n v="0"/>
    <n v="5"/>
    <s v="the pushback was good and helped me to think about both sides of the argument"/>
    <s v="shorter answers"/>
    <x v="1"/>
    <s v="gemini-2.5-flash"/>
  </r>
  <r>
    <s v="MBA530-1-F25"/>
    <s v="Anna King"/>
    <x v="0"/>
    <x v="3"/>
    <n v="0"/>
    <n v="4"/>
    <s v="I like that kent&quot; repeated back my ideas so I knew he was aware of the value of what I proposed"/>
    <s v=" and had decent follow up questions for what we could dive deeper on&quot; I would need to play around with the different personalities to know for sure. I feel that I might have selected one that was too easy on me."/>
    <x v="0"/>
    <s v="gemini-2.5-flash"/>
  </r>
  <r>
    <s v="MBA530-2-F25"/>
    <s v="Carolina Alvarez"/>
    <x v="0"/>
    <x v="3"/>
    <n v="0"/>
    <n v="5"/>
    <s v="I really liked how it helped me think through the case, and pushed me to give more specific details and dig deeper into my answers and thoughts"/>
    <s v="This might have been the personality that I chose, but maybe make it more conversational, it feel too structured and guided"/>
    <x v="1"/>
    <s v="gemini-2.5-flash"/>
  </r>
  <r>
    <s v="GSCM401-1-F25"/>
    <s v="Xianny Magoffin"/>
    <x v="9"/>
    <x v="2"/>
    <n v="0"/>
    <n v="5"/>
    <s v="I liked the fact that you were questioning me about every detail, pushing me to think further and have a broader understanding of the case."/>
    <s v="No improvements needed"/>
    <x v="2"/>
    <s v="gemini-2.5-flash"/>
  </r>
  <r>
    <s v="MBA530-2-F25"/>
    <s v="Brady Jennings"/>
    <x v="4"/>
    <x v="4"/>
    <n v="0"/>
    <n v="5"/>
    <s v="I like that it gave me direction for what I need to consider"/>
    <s v="I liked it, no improvements"/>
    <x v="1"/>
    <s v="gemini-2.5-flash"/>
  </r>
  <r>
    <s v="MBA530-1-F25"/>
    <s v="Jared Lubin"/>
    <x v="5"/>
    <x v="0"/>
    <n v="0"/>
    <n v="4"/>
    <s v="It was very unique. We've never approached any case with an AI model like this"/>
    <s v="Frankly, the sycophantic model was fun to work with, but I would imagine it was probably the least useful of all of the potential options"/>
    <x v="0"/>
    <s v="gemini-2.5-flash"/>
  </r>
  <r>
    <s v="MBA530-1-F25"/>
    <s v="Jen Martinez"/>
    <x v="0"/>
    <x v="1"/>
    <n v="0"/>
    <n v="1"/>
    <s v="that is pushed me and forced me to think about all the factors that would be affected by my recommendations"/>
    <s v="sorry I meant 5 not 1"/>
    <x v="0"/>
    <s v="gemini-2.5-flash"/>
  </r>
  <r>
    <s v="GSCM401-1-F25"/>
    <s v="Ava Jorgensen"/>
    <x v="8"/>
    <x v="3"/>
    <n v="0"/>
    <n v="5"/>
    <s v="It helped me learn about the case"/>
    <s v="I can't think of any ways it can improve"/>
    <x v="2"/>
    <s v="gemini-2.5-flash"/>
  </r>
  <r>
    <s v="GSCM401-3-F25"/>
    <s v="Toby Zheng"/>
    <x v="2"/>
    <x v="3"/>
    <n v="0"/>
    <n v="5"/>
    <s v="I love your personality"/>
    <s v="it is perfect"/>
    <x v="0"/>
    <s v="gemini-2.5-flash-lite"/>
  </r>
  <r>
    <s v="GSCM401-3-F25"/>
    <s v="Jake Thomas"/>
    <x v="4"/>
    <x v="0"/>
    <n v="0"/>
    <n v="3"/>
    <s v="you made me feel validated and valuable"/>
    <s v="giving an end goal before"/>
    <x v="0"/>
    <s v="gemini-2.5-flash-lite"/>
  </r>
  <r>
    <s v="MBA530-2-F25"/>
    <s v="Jared Kraus"/>
    <x v="2"/>
    <x v="1"/>
    <n v="0"/>
    <n v="5"/>
    <s v="Made the scenario feel real. Helped practice on the spot problem solving"/>
    <s v="More time to practice this case"/>
    <x v="1"/>
    <s v="gemini-2.5-flash"/>
  </r>
  <r>
    <s v="GSCM401-1-F25"/>
    <s v="Jackson Griffin"/>
    <x v="4"/>
    <x v="3"/>
    <n v="0"/>
    <n v="3.5698500000000002"/>
    <s v="idk"/>
    <s v="probably"/>
    <x v="2"/>
    <s v="gemini-2.5-flash"/>
  </r>
  <r>
    <s v="GSCM401-2-F25"/>
    <s v="Lucy Groberg"/>
    <x v="8"/>
    <x v="0"/>
    <n v="1"/>
    <n v="4"/>
    <s v="pointed me back to the case on specific topics"/>
    <s v="for hints, give me an exact place to look in the case"/>
    <x v="1"/>
    <s v="gemini-2.5-pro"/>
  </r>
  <r>
    <s v="MBA530-2-F25"/>
    <s v="Limhi Duran"/>
    <x v="0"/>
    <x v="0"/>
    <n v="0"/>
    <n v="4"/>
    <s v="The thought provoking questions and guidance"/>
    <s v="Just more difficult questions as the conversation progressed"/>
    <x v="1"/>
    <s v="gemini-2.5-flash"/>
  </r>
  <r>
    <s v="MBA530-2-F25"/>
    <s v="jaron diehl"/>
    <x v="8"/>
    <x v="1"/>
    <n v="1"/>
    <n v="5"/>
    <s v="helped queue my mind to things i had forgotten in the case"/>
    <s v="hmmmm...maybe some memory joggers to help me get my mind in the right place before our conversations begins. some reminders of critical facts to help us get farther faster"/>
    <x v="1"/>
    <s v="gemini-2.5-flash"/>
  </r>
  <r>
    <s v="GSCM401-1-F25"/>
    <s v="Malakai Bird"/>
    <x v="4"/>
    <x v="2"/>
    <n v="0"/>
    <n v="4"/>
    <s v="I liked how it structured my thinking in terms of demand, seasonality, and considering all the variables involved in a proposed solution"/>
    <s v="I would suggest calling out more where my ideas don't make sense in the context of the case"/>
    <x v="2"/>
    <s v="gemini-2.5-flash"/>
  </r>
  <r>
    <s v="MBA530-2-F25"/>
    <s v="Rachel Moulton"/>
    <x v="2"/>
    <x v="0"/>
    <n v="0"/>
    <n v="3.5"/>
    <s v="I loved talking through my logic!"/>
    <s v="I wish I picked a different method. I loved the kind words but it took a minute to read through and get to the point"/>
    <x v="1"/>
    <s v="gemini-2.5-flash"/>
  </r>
  <r>
    <s v="MBA530-1-F25"/>
    <s v="Charmaine Mabini"/>
    <x v="6"/>
    <x v="4"/>
    <n v="0"/>
    <n v="5"/>
    <s v="It pushed me to think harder"/>
    <s v="A picture on the bubble instead of your initials would make the conversation more exciting and would make it seem more interactive."/>
    <x v="0"/>
    <s v="gemini-2.5-flash"/>
  </r>
  <r>
    <s v="MBA530-1-F25"/>
    <s v="Lakely Shupe"/>
    <x v="2"/>
    <x v="1"/>
    <n v="0"/>
    <n v="5"/>
    <s v="It forced me to think deeper than I had when I read the case on my own. It also felt like a real conversation versus me just guessing what Kent would say."/>
    <s v="Well I couldn't connect to the API at first. But after I connected it worked great!"/>
    <x v="0"/>
    <s v="gemini-2.5-flash"/>
  </r>
  <r>
    <s v="MBA530-1-F25"/>
    <s v="Paige Simpson"/>
    <x v="4"/>
    <x v="4"/>
    <n v="0"/>
    <n v="5"/>
    <s v="I loved the questions"/>
    <s v="nothing!"/>
    <x v="0"/>
    <s v="gemini-2.5-flash"/>
  </r>
  <r>
    <s v="GSCM401-3-F25"/>
    <s v="Luke Johnson"/>
    <x v="2"/>
    <x v="3"/>
    <n v="0"/>
    <n v="4"/>
    <s v="i liked how you helped walk me through the cases issues"/>
    <s v="maybe if you were more direct in your feedback"/>
    <x v="0"/>
    <s v="gemini-2.5-flash-lite"/>
  </r>
  <r>
    <s v="MBA530-1-F25"/>
    <s v="Alex Sisk"/>
    <x v="0"/>
    <x v="0"/>
    <n v="0"/>
    <n v="5"/>
    <s v="It caused me to think about the case in a different way than I was previously"/>
    <s v="Maybe a bit more in the initial question about what exactly he is looking for in this particular conversation"/>
    <x v="0"/>
    <s v="gemini-2.5-flash"/>
  </r>
  <r>
    <s v="GSCM401-2-F25"/>
    <s v="Mikey Wakefield"/>
    <x v="3"/>
    <x v="1"/>
    <n v="0"/>
    <n v="5"/>
    <s v="the responses that I received is what I would imagine an executive would ask m"/>
    <s v="If I had read the case in advance"/>
    <x v="1"/>
    <s v="gemini-2.5-pro"/>
  </r>
  <r>
    <s v="GSCM401-3-F25"/>
    <s v="Sam Stockwell"/>
    <x v="2"/>
    <x v="1"/>
    <n v="0"/>
    <n v="5"/>
    <s v="Being able to talk you through my train of thoughts and have you quote the case to me and make me explain further"/>
    <s v="I thought the instructions for what to do were kinda confusing. It made sense after a minute, but it was confusing initially."/>
    <x v="0"/>
    <s v="gemini-2.5-flash-lite"/>
  </r>
  <r>
    <s v="GSCM401-1-F25"/>
    <s v="Jamason Blair"/>
    <x v="0"/>
    <x v="0"/>
    <n v="0"/>
    <n v="4"/>
    <s v="It helped me engage with the case more. If I had to present this case, these questions that I am asked would be fantastic to put on slides and have answers to."/>
    <s v="I can't think of anything off the top of my head"/>
    <x v="2"/>
    <s v="gemini-2.5-flash"/>
  </r>
  <r>
    <s v="GSCM401-3-F25"/>
    <s v="Isaiah Wunderli"/>
    <x v="2"/>
    <x v="3"/>
    <n v="0"/>
    <n v="5"/>
    <s v="It built on each of my responses."/>
    <s v="Be more specific about if i'm on a good track or not."/>
    <x v="0"/>
    <s v="gemini-2.5-flash-lite"/>
  </r>
  <r>
    <s v="GSCM401-3-F25"/>
    <s v="Owen Akerman"/>
    <x v="4"/>
    <x v="0"/>
    <n v="0"/>
    <n v="1"/>
    <s v="It felt good to have a receptive audience"/>
    <s v="real feedback one what to improve on would result in better solutions"/>
    <x v="0"/>
    <s v="gemini-2.5-flash-lite"/>
  </r>
  <r>
    <s v="GSCM401-1-F25"/>
    <s v="Ruben Azevedo"/>
    <x v="3"/>
    <x v="3"/>
    <n v="1"/>
    <n v="5"/>
    <s v="precise questions"/>
    <s v="keep explanations simple"/>
    <x v="2"/>
    <s v="gemini-2.5-flash"/>
  </r>
  <r>
    <s v="GSCM401-1-F25"/>
    <s v="Lauren Membreno"/>
    <x v="3"/>
    <x v="3"/>
    <n v="1"/>
    <n v="4"/>
    <s v="it made me think deeper about the question"/>
    <s v="there was one question i was confused about"/>
    <x v="2"/>
    <s v="gemini-2.5-flash"/>
  </r>
  <r>
    <s v="GSCM401-1-F25"/>
    <s v="Sydney Bennett"/>
    <x v="0"/>
    <x v="4"/>
    <n v="1"/>
    <n v="4"/>
    <s v="Very relevant questions"/>
    <s v="i felt that the questions became very focused on one specific track once i identified a problem instead of seeming like there was a specific goal that needed to be reached. the conversation was based on my initial observation and didn't expand as much as i was hoping to other topics"/>
    <x v="2"/>
    <s v="gemini-2.5-flash"/>
  </r>
  <r>
    <s v="none"/>
    <s v="Mercer G"/>
    <x v="8"/>
    <x v="4"/>
    <n v="0"/>
    <s v="NULL"/>
    <s v="NULL"/>
    <s v="NULL"/>
    <x v="1"/>
    <s v="gemini-2.5-flash"/>
  </r>
  <r>
    <s v="GSCM401-3-F25"/>
    <s v="Mia Aamodt"/>
    <x v="2"/>
    <x v="3"/>
    <n v="0"/>
    <n v="5"/>
    <s v="you were very nice and made me feel like my ideas were good."/>
    <s v="i think les hints of the case might make me think more"/>
    <x v="0"/>
    <s v="gemini-2.5-flash-lite"/>
  </r>
  <r>
    <s v="GSCM401-3-F25"/>
    <s v="Bruin Salmon"/>
    <x v="0"/>
    <x v="3"/>
    <n v="0"/>
    <n v="5"/>
    <s v="It give me direct feedback on what I was saying and challenged my thinking behind some of the decision I was making."/>
    <s v="I think it could be more to the point and less validation."/>
    <x v="0"/>
    <s v="gemini-2.5-flash-lite"/>
  </r>
  <r>
    <s v="GSCM401-1-F25"/>
    <s v="Annie Schwendiman"/>
    <x v="11"/>
    <x v="1"/>
    <n v="0"/>
    <n v="4"/>
    <s v="I liked that it kept asking me what evidence from the case supported my ideas"/>
    <s v="I think we kind of went on a tangent, so it would be helpful if there was a way to stay on track of the specific problem we are addressing"/>
    <x v="2"/>
    <s v="gemini-2.5-flash"/>
  </r>
  <r>
    <s v="MBA530-1-F25"/>
    <s v="Enoch Councill"/>
    <x v="6"/>
    <x v="2"/>
    <n v="0"/>
    <n v="5"/>
    <s v="it's quick, and it forces you to think critically and on your feet"/>
    <s v="NA"/>
    <x v="0"/>
    <s v="gemini-2.5-flash"/>
  </r>
  <r>
    <s v="MBA530-1-F25"/>
    <s v="Caroline K"/>
    <x v="8"/>
    <x v="1"/>
    <n v="0"/>
    <n v="4"/>
    <s v="that it can act as a conversation, however, it is not so life like so it is hard to build up a case as the Kent character is not approachable"/>
    <s v="same as above"/>
    <x v="0"/>
    <s v="gemini-2.5-flash"/>
  </r>
  <r>
    <s v="MBA530-2-F25"/>
    <s v="Tanner Ferguson"/>
    <x v="6"/>
    <x v="2"/>
    <n v="0"/>
    <n v="5"/>
    <s v="The pressure from Ken"/>
    <s v="In a real discussion, Ken would ask pointed, short questions to drive into it."/>
    <x v="1"/>
    <s v="gemini-2.5-flash"/>
  </r>
  <r>
    <s v="MBA530-2-F25"/>
    <s v="Tanner West"/>
    <x v="4"/>
    <x v="1"/>
    <n v="0"/>
    <n v="4"/>
    <s v="He got to the important points rather quickly and brought up significant issues"/>
    <s v="I spent too much time thinking out responses and couldn't get deep into the analysis."/>
    <x v="1"/>
    <s v="gemini-2.5-flash"/>
  </r>
  <r>
    <s v="MBA530-2-F25"/>
    <s v="Jackie Fleming"/>
    <x v="6"/>
    <x v="2"/>
    <n v="0"/>
    <n v="4"/>
    <s v="It gave me a chance to make a decision and back up my opinions."/>
    <s v="I can't think of anything"/>
    <x v="1"/>
    <s v="gemini-2.5-flash"/>
  </r>
  <r>
    <s v="MBA530-1-F25"/>
    <s v="Zachary Loutensock"/>
    <x v="2"/>
    <x v="1"/>
    <n v="0"/>
    <n v="4"/>
    <s v="I like how Kent was very picky about what he wanted. He did not like fluffy answers and also provided me useful insights about where he wanted it to go."/>
    <s v="I think it could be more of a conversation and ideation session"/>
    <x v="0"/>
    <s v="gemini-2.5-flash"/>
  </r>
  <r>
    <s v="GSCM401-3-F25"/>
    <s v="Josh Christensen"/>
    <x v="2"/>
    <x v="2"/>
    <n v="1"/>
    <s v="NULL"/>
    <s v="NULL"/>
    <s v="NULL"/>
    <x v="0"/>
    <s v="gemini-2.5-flash-lite"/>
  </r>
  <r>
    <s v="GSCM401-3-F25"/>
    <s v="Zach Tew"/>
    <x v="8"/>
    <x v="4"/>
    <n v="0"/>
    <n v="3"/>
    <s v="I liked how kent asked follow up questions, encouraging me to dig deeper on my analysis"/>
    <s v="kent could respond quicker"/>
    <x v="0"/>
    <s v="gemini-2.5-flash-lite"/>
  </r>
  <r>
    <s v="MBA530-1-F25"/>
    <s v="Jacob Broadbent"/>
    <x v="2"/>
    <x v="2"/>
    <n v="0"/>
    <n v="4"/>
    <s v="It pushed me to defend my answers. And especially with the last reply pushed me to stay grounded in the facts from the case. This made me realize that I had one idea and dug in on it rather than staying grounded in the facts."/>
    <s v="I would want to know more context on what the goals and timeline are for Malawis to make this decision."/>
    <x v="0"/>
    <s v="gemini-2.5-flash"/>
  </r>
  <r>
    <s v="GSCM401-1-F25"/>
    <s v="Thomas Barrus"/>
    <x v="4"/>
    <x v="3"/>
    <n v="0"/>
    <s v="NULL"/>
    <s v="NULL"/>
    <s v="NULL"/>
    <x v="2"/>
    <s v="gemini-2.5-flash"/>
  </r>
  <r>
    <s v="MBA530-2-F25"/>
    <s v="Dan Snow"/>
    <x v="6"/>
    <x v="0"/>
    <n v="0"/>
    <n v="4"/>
    <s v="that it keeps poking me with followups"/>
    <s v="Maybe I didn't get to the end&quot; of the conversation but because of my case study conditioning I find myself wanting Kent to give me some frameworks or to make sense of the problems.&quot;"/>
    <x v="1"/>
    <s v="gemini-2.5-flash"/>
  </r>
  <r>
    <s v="MBA530-2-F25"/>
    <s v="Mr McMalawi Mumamuboy"/>
    <x v="10"/>
    <x v="0"/>
    <n v="0"/>
    <n v="5"/>
    <s v="You were the best part"/>
    <s v="Nothing that I can think of"/>
    <x v="1"/>
    <s v="gemini-2.5-flash"/>
  </r>
  <r>
    <s v="MBA530-1-F25"/>
    <s v="Tiffany Chu"/>
    <x v="2"/>
    <x v="2"/>
    <n v="0"/>
    <n v="5"/>
    <s v="I do like your honest questions"/>
    <s v="I would say it would be helpful if you actually time the responses and be impatient if I don't respond soon enough"/>
    <x v="0"/>
    <s v="gemini-2.5-flash"/>
  </r>
  <r>
    <s v="GSCM401-1-F25"/>
    <s v="Macie Gunnell"/>
    <x v="6"/>
    <x v="2"/>
    <n v="0"/>
    <n v="4"/>
    <s v="I liked how kent kind of fought back with me and challenged my ideas.. I thought it was good to have to defend my point of view and give specific evidence"/>
    <s v="I think that if there were some more creative questions it could be helpful!"/>
    <x v="2"/>
    <s v="gemini-2.5-flash"/>
  </r>
  <r>
    <s v="GSCM401-1-F25"/>
    <s v="Aedan Keller"/>
    <x v="6"/>
    <x v="1"/>
    <n v="0"/>
    <n v="5"/>
    <s v="the guided thinking. It helps me think through what I need to pay attention to"/>
    <s v="The conversation was great, maybe include the exhibits on the case here"/>
    <x v="2"/>
    <s v="gemini-2.5-flash"/>
  </r>
  <r>
    <s v="GSCM401-2-F25"/>
    <s v="Sadie Bailey"/>
    <x v="11"/>
    <x v="3"/>
    <n v="1"/>
    <n v="5"/>
    <s v="the questions"/>
    <s v="nothing"/>
    <x v="1"/>
    <s v="gemini-2.5-pro"/>
  </r>
  <r>
    <s v="MBA530-2-F25"/>
    <s v="McKayla Lindman"/>
    <x v="0"/>
    <x v="0"/>
    <n v="0"/>
    <n v="5"/>
    <s v="It poked holes in my arguments and forced me to back it up with evidence"/>
    <s v="I don't think I made it far enough in to provide concrete feedback"/>
    <x v="1"/>
    <s v="gemini-2.5-flash"/>
  </r>
  <r>
    <s v="GSCM401-1-F25"/>
    <s v="Shonosuke Nakayama"/>
    <x v="6"/>
    <x v="3"/>
    <n v="0"/>
    <n v="5"/>
    <s v="This helped me think about what the root problems of the business are and how I could potentially solve them."/>
    <s v="this is good enough"/>
    <x v="2"/>
    <s v="gemini-2.5-flash"/>
  </r>
  <r>
    <s v="GSCM401-3-F25"/>
    <s v="Hunter Johanson"/>
    <x v="2"/>
    <x v="4"/>
    <n v="1"/>
    <n v="4"/>
    <s v="That it stuck to the case and refered back to it when it pushed back on my ideas"/>
    <s v="It didn't seem to like the idea of training and the exptrise that could be passed on"/>
    <x v="0"/>
    <s v="gemini-2.5-flash-lite"/>
  </r>
  <r>
    <s v="MBA530-2-F25"/>
    <s v="Austin Shaffer"/>
    <x v="6"/>
    <x v="1"/>
    <n v="0"/>
    <n v="5"/>
    <s v="A unique, catered case experience just for me, and just for the way I think. This experience was fast, fast learning"/>
    <s v="Maybe an initial assessment of understanding to guide Kent's interaction with the customer"/>
    <x v="1"/>
    <s v="gemini-2.5-flash"/>
  </r>
  <r>
    <s v="GSCM401-3-F25"/>
    <s v="Jacob Biesinger"/>
    <x v="7"/>
    <x v="1"/>
    <n v="1"/>
    <n v="4"/>
    <s v="It kept me focused on the question instead of accepting a mid-tier answer"/>
    <s v="maybe provide extra feedback on my responses"/>
    <x v="0"/>
    <s v="gemini-2.5-flash-lite"/>
  </r>
  <r>
    <s v="GSCM401-3-F25"/>
    <s v="Riley Larsen"/>
    <x v="9"/>
    <x v="0"/>
    <n v="0"/>
    <n v="3"/>
    <s v="the real world concerns"/>
    <s v="be less nice and more direct with your questions"/>
    <x v="0"/>
    <s v="gemini-2.5-flash-lite"/>
  </r>
  <r>
    <s v="MBA530-1-F25"/>
    <s v="Hailey Ure"/>
    <x v="4"/>
    <x v="3"/>
    <n v="1"/>
    <n v="5"/>
    <s v="The back-and-forth conversation/questions and diving deeper into the case."/>
    <s v="N/A"/>
    <x v="0"/>
    <s v="gemini-2.5-flash"/>
  </r>
  <r>
    <s v="GSCM401-1-F25"/>
    <s v="Jacob Doman"/>
    <x v="0"/>
    <x v="3"/>
    <n v="0"/>
    <n v="5"/>
    <s v="i liked how quickly the responses were and how my answers led to informed questions from you based on the case"/>
    <s v="maybe you could implement audio so that I don't have to type out my full answer"/>
    <x v="2"/>
    <s v="gemini-2.5-flash"/>
  </r>
  <r>
    <s v="GSCM401-3-F25"/>
    <s v="Ben Sessions"/>
    <x v="4"/>
    <x v="3"/>
    <n v="0"/>
    <n v="4"/>
    <s v="I liked how I had to dig around and find different insights and hints throughout the case"/>
    <s v="If the personality was more leading"/>
    <x v="0"/>
    <s v="gemini-2.5-flash-lite"/>
  </r>
  <r>
    <s v="MBA530-1-F25"/>
    <s v="Joseph Droge"/>
    <x v="0"/>
    <x v="2"/>
    <n v="0"/>
    <n v="4"/>
    <s v="Pushed back and asked follow up questions to go deeper"/>
    <s v="Ask for numbers and calculations"/>
    <x v="0"/>
    <s v="gemini-2.5-flash"/>
  </r>
  <r>
    <s v="GSCM401-2-F25"/>
    <s v="Hyrum Villanueva"/>
    <x v="5"/>
    <x v="4"/>
    <n v="0"/>
    <n v="4"/>
    <s v="I liked how you guided us"/>
    <s v="it could provide example conversation paths, but not limited to that"/>
    <x v="1"/>
    <s v="gemini-2.5-pro"/>
  </r>
  <r>
    <s v="GSCM401-3-F25"/>
    <s v="Daniel Nicholls"/>
    <x v="3"/>
    <x v="0"/>
    <n v="0"/>
    <n v="4"/>
    <s v="It was really easy to come up with ideas when the questions were worded so well. They created an easy train of thought for me."/>
    <s v="Maybe help me find specific points in the case that I reference, or that relate to what I've said to help me understand the case"/>
    <x v="0"/>
    <s v="gemini-2.5-flash-lite"/>
  </r>
  <r>
    <s v="GSCM401-1-F25"/>
    <s v="Tyler Blotter"/>
    <x v="0"/>
    <x v="2"/>
    <n v="0"/>
    <n v="5"/>
    <s v="the questions it asked"/>
    <s v="by just asking the questions"/>
    <x v="2"/>
    <s v="gemini-2.5-flash"/>
  </r>
  <r>
    <s v="MBA530-2-F25"/>
    <s v="Lucas Mayer"/>
    <x v="6"/>
    <x v="0"/>
    <n v="0"/>
    <n v="5"/>
    <s v="It was certainly entertaining"/>
    <s v="The personality I chose didn't have much to be improved to be honest, but I guess I could try a more strict one next time"/>
    <x v="1"/>
    <s v="gemini-2.5-flash"/>
  </r>
  <r>
    <s v="GSCM401-2-F25"/>
    <s v="Emma Carvajal"/>
    <x v="6"/>
    <x v="4"/>
    <n v="0"/>
    <n v="5"/>
    <s v="everything"/>
    <s v="yes"/>
    <x v="1"/>
    <s v="gemini-2.5-pro"/>
  </r>
  <r>
    <s v="MBA530-1-F25"/>
    <s v="Lindsey Goodson"/>
    <x v="0"/>
    <x v="1"/>
    <n v="0"/>
    <n v="4"/>
    <s v="It was a challenge"/>
    <s v="I honestly don't know"/>
    <x v="0"/>
    <s v="gemini-2.5-flash"/>
  </r>
  <r>
    <s v="MBA530-1-F25"/>
    <s v="Braeden McKee"/>
    <x v="6"/>
    <x v="4"/>
    <n v="0"/>
    <n v="5"/>
    <s v="How real it felt and the great probing questions"/>
    <s v="Voice to chat"/>
    <x v="0"/>
    <s v="gemini-2.5-flash"/>
  </r>
  <r>
    <s v="GSCM401-3-F25"/>
    <s v="Josh Evans"/>
    <x v="4"/>
    <x v="3"/>
    <n v="0"/>
    <n v="5"/>
    <s v="Kent kept the conversation going"/>
    <s v="I thought it was great!"/>
    <x v="0"/>
    <s v="gemini-2.5-flash-lite"/>
  </r>
  <r>
    <s v="MBA530-2-F25"/>
    <s v="Joe Callinan"/>
    <x v="5"/>
    <x v="0"/>
    <n v="0"/>
    <s v="NULL"/>
    <s v="NULL"/>
    <s v="NULL"/>
    <x v="1"/>
    <s v="gemini-2.5-flash"/>
  </r>
  <r>
    <s v="GSCM401-1-F25"/>
    <s v="Jacob Vawdrey"/>
    <x v="6"/>
    <x v="4"/>
    <n v="0"/>
    <s v="NULL"/>
    <s v="NULL"/>
    <s v="NULL"/>
    <x v="2"/>
    <s v="gemini-2.5-flash"/>
  </r>
  <r>
    <s v="MBA530-2-F25"/>
    <s v="Aaron Neifert"/>
    <x v="6"/>
    <x v="3"/>
    <n v="0"/>
    <n v="4"/>
    <s v="I liked how helpful kent was"/>
    <s v="I wish I knew how the other personalities were"/>
    <x v="1"/>
    <s v="gemini-2.5-flash"/>
  </r>
  <r>
    <s v="MBA530-2-F25"/>
    <s v="Jenny Stewart"/>
    <x v="0"/>
    <x v="0"/>
    <n v="0"/>
    <n v="4"/>
    <s v="I like the positive feedback that I received but mostly I liked that this helped guide me into thinking about the case more deeply."/>
    <s v="potentially shorter responses could be helpful - specifically with the compliments"/>
    <x v="1"/>
    <s v="gemini-2.5-flash"/>
  </r>
  <r>
    <s v="GSCM401-1-F25"/>
    <s v="Hana Mickelsen"/>
    <x v="1"/>
    <x v="3"/>
    <n v="0"/>
    <n v="5"/>
    <s v="I liked how it challenged me to think deeper"/>
    <s v="I didn't see anything wrong with it"/>
    <x v="2"/>
    <s v="gemini-2.5-flash"/>
  </r>
  <r>
    <s v="GSCM401-3-F25"/>
    <s v="Jack Johnson"/>
    <x v="2"/>
    <x v="1"/>
    <n v="0"/>
    <n v="4"/>
    <s v="The quick responses and how it wanted me to go more in depth with my analysis"/>
    <s v="more encouraging responses to good solutions, KEnt seemed a little deflective instead of reflective"/>
    <x v="0"/>
    <s v="gemini-2.5-flash-lite"/>
  </r>
  <r>
    <s v="GSCM401-3-F25"/>
    <s v="Carsyn Richins"/>
    <x v="2"/>
    <x v="2"/>
    <n v="0"/>
    <n v="4"/>
    <s v="It caused me to get specific on my suggestions and back up everything with the case details"/>
    <s v="I'm not sure"/>
    <x v="0"/>
    <s v="gemini-2.5-flash-lite"/>
  </r>
  <r>
    <s v="MBA530-2-F25"/>
    <s v="Jane Stay"/>
    <x v="8"/>
    <x v="2"/>
    <n v="0"/>
    <n v="4"/>
    <s v="the back and forth of ideas"/>
    <s v="you only kept with the case facts, but a real conversation would allow for new ideas"/>
    <x v="1"/>
    <s v="gemini-2.5-flash"/>
  </r>
  <r>
    <s v="MBA530-2-F25"/>
    <s v="Connor Tracy"/>
    <x v="2"/>
    <x v="2"/>
    <n v="0"/>
    <n v="5"/>
    <s v="Challenged assumptions"/>
    <s v="I think it could be improved if we had known going into it we would have this conversation."/>
    <x v="1"/>
    <s v="gemini-2.5-flash"/>
  </r>
  <r>
    <s v="GSCM401-1-F25"/>
    <s v="Andy Sharp"/>
    <x v="2"/>
    <x v="0"/>
    <n v="1"/>
    <n v="5"/>
    <s v="good"/>
    <s v="awesome"/>
    <x v="2"/>
    <s v="gemini-2.5-flash"/>
  </r>
  <r>
    <s v="MBA530-1-F25"/>
    <s v="Stuart Schill"/>
    <x v="12"/>
    <x v="2"/>
    <n v="0"/>
    <n v="2"/>
    <s v="I like the interactivity"/>
    <s v="I think it would be helpful if the consult-tee came with established questions and worked with you more like someone searching for specific advice. It could bring up information from the case to help prompt the reader if it has specific needs."/>
    <x v="0"/>
    <s v="gemini-2.5-flash"/>
  </r>
  <r>
    <s v="GSCM401-3-F25"/>
    <s v="Landon Evans"/>
    <x v="0"/>
    <x v="0"/>
    <n v="0"/>
    <n v="5"/>
    <s v="You"/>
    <s v="N/A"/>
    <x v="0"/>
    <s v="gemini-2.5-flash-lite"/>
  </r>
  <r>
    <s v="MBA530-1-F25"/>
    <s v="Brad Davis"/>
    <x v="6"/>
    <x v="1"/>
    <n v="0"/>
    <n v="5"/>
    <s v="The push back on my solutions/ideas and focus on the real problem"/>
    <s v="If more financial data was involved. i.e. margins, revenue, profitability, number of events"/>
    <x v="0"/>
    <s v="gemini-2.5-flash"/>
  </r>
  <r>
    <s v="MBA530-1-F25"/>
    <s v="Peter Magleby"/>
    <x v="4"/>
    <x v="3"/>
    <n v="0"/>
    <n v="4"/>
    <s v="Thought provoking questions that made me get into the case details and think through solutions."/>
    <s v="Perhaps getting to the core questions quicker. I was excited to address the key issues, but didn't get to it."/>
    <x v="0"/>
    <s v="gemini-2.5-flash"/>
  </r>
  <r>
    <s v="none"/>
    <s v="Professor Sampson"/>
    <x v="10"/>
    <x v="0"/>
    <n v="0"/>
    <n v="3"/>
    <s v="it was in English"/>
    <s v="give me extra credit"/>
    <x v="1"/>
    <s v="gemini-2.5-flash"/>
  </r>
  <r>
    <s v="MBA530-1-F25"/>
    <s v="Derek Hatch"/>
    <x v="0"/>
    <x v="0"/>
    <n v="0"/>
    <n v="5"/>
    <s v="it was fun and challenging to work through the problems and nice to have the case to reference"/>
    <s v="nothing"/>
    <x v="0"/>
    <s v="gemini-2.5-flash"/>
  </r>
  <r>
    <s v="GSCM401-3-F25"/>
    <s v="Fernanda Romero"/>
    <x v="4"/>
    <x v="0"/>
    <n v="1"/>
    <s v="NULL"/>
    <s v="NULL"/>
    <s v="NULL"/>
    <x v="0"/>
    <s v="gemini-2.5-flash-lite"/>
  </r>
  <r>
    <s v="MBA530-1-F25"/>
    <s v="Jake Healey"/>
    <x v="0"/>
    <x v="0"/>
    <n v="0"/>
    <n v="4"/>
    <s v="the challenge"/>
    <s v="I liked this model, however, I would by no means consider it sycophantic&quot;&quot;"/>
    <x v="0"/>
    <s v="gemini-2.5-flash"/>
  </r>
  <r>
    <s v="GSCM401-3-F25"/>
    <s v="Jarom Paulsen"/>
    <x v="2"/>
    <x v="3"/>
    <n v="0"/>
    <n v="5"/>
    <s v="it was helpful doing this case taking to what felt like the actual CEO"/>
    <s v="not sure"/>
    <x v="0"/>
    <s v="gemini-2.5-flash-lite"/>
  </r>
  <r>
    <s v="GSCM401-3-F25"/>
    <s v="Avery Lytle"/>
    <x v="2"/>
    <x v="1"/>
    <n v="0"/>
    <n v="3"/>
    <s v="Ken had good questions"/>
    <s v="Make Ken use less complicated language. Have it feel more personal"/>
    <x v="0"/>
    <s v="gemini-2.5-flash-lite"/>
  </r>
  <r>
    <s v="GSCM401-3-F25"/>
    <s v="Levi Bohne"/>
    <x v="2"/>
    <x v="2"/>
    <n v="0"/>
    <n v="5"/>
    <s v="I am not sure"/>
    <s v="Too strict."/>
    <x v="0"/>
    <s v="gemini-2.5-flash-lite"/>
  </r>
  <r>
    <s v="GSCM401-2-F25"/>
    <s v="Isaac Rollins"/>
    <x v="11"/>
    <x v="4"/>
    <n v="1"/>
    <n v="3"/>
    <s v="the hard questions that were asked"/>
    <s v="more help when i asked questions"/>
    <x v="1"/>
    <s v="gemini-2.5-pro"/>
  </r>
  <r>
    <s v="MBA530-2-F25"/>
    <s v="Ben Jenks"/>
    <x v="6"/>
    <x v="1"/>
    <n v="0"/>
    <n v="4"/>
    <s v="Your feedback and questions were deeper than surface level and did make me think more deeply about the case."/>
    <s v="I would have liked more time to dig into the conversation."/>
    <x v="1"/>
    <s v="gemini-2.5-flash"/>
  </r>
  <r>
    <s v="GSCM401-3-F25"/>
    <s v="Jackson Weaver"/>
    <x v="6"/>
    <x v="3"/>
    <n v="0"/>
    <n v="4"/>
    <s v="good"/>
    <s v="good"/>
    <x v="0"/>
    <s v="gemini-2.5-flash-lite"/>
  </r>
  <r>
    <s v="GSCM401-1-F25"/>
    <s v="Samuel Cope"/>
    <x v="2"/>
    <x v="1"/>
    <n v="1"/>
    <n v="4"/>
    <s v="It was great to get a better understanding about the case"/>
    <s v="I cannot"/>
    <x v="2"/>
    <s v="gemini-2.5-flash"/>
  </r>
  <r>
    <s v="MBA530-1-F25"/>
    <s v="Jorge Beltran"/>
    <x v="12"/>
    <x v="4"/>
    <n v="1"/>
    <n v="5"/>
    <s v="it pushed me to pull the numbers"/>
    <s v="its great as it is"/>
    <x v="0"/>
    <s v="gemini-2.5-flash"/>
  </r>
  <r>
    <s v="GSCM401-3-F25"/>
    <s v="Owen Davis"/>
    <x v="3"/>
    <x v="0"/>
    <n v="0"/>
    <n v="5"/>
    <s v="I liked that the bot understood what I was talking about so I had someone who understood the case to bounce ideas off of"/>
    <s v="I think using a more balanced personality could be useful"/>
    <x v="0"/>
    <s v="gemini-2.5-flash-lite"/>
  </r>
  <r>
    <s v="MBA530-1-F25"/>
    <s v="Shangjun Yang"/>
    <x v="0"/>
    <x v="0"/>
    <n v="0"/>
    <n v="4"/>
    <s v="The prompt you give me allows my thought process to flow very well"/>
    <s v="Go straight to the point might be better"/>
    <x v="0"/>
    <s v="gemini-2.5-flash"/>
  </r>
  <r>
    <s v="GSCM401-3-F25"/>
    <s v="Peter Neville"/>
    <x v="8"/>
    <x v="4"/>
    <n v="2"/>
    <n v="5"/>
    <s v="your good personality"/>
    <s v="no room for improvement"/>
    <x v="0"/>
    <s v="gemini-2.5-flash-lite"/>
  </r>
  <r>
    <s v="MBA530-2-F25"/>
    <s v="Chase Clement"/>
    <x v="11"/>
    <x v="3"/>
    <n v="0"/>
    <s v="NULL"/>
    <s v="NULL"/>
    <s v="NULL"/>
    <x v="1"/>
    <s v="gemini-2.5-flash"/>
  </r>
  <r>
    <s v="MBA530-2-F25"/>
    <s v="Katelyn Mayberry"/>
    <x v="0"/>
    <x v="0"/>
    <n v="1"/>
    <n v="3"/>
    <s v="each question built on the last question"/>
    <s v="some of the questions had multiple parts to answer, it would have been easier if it was just one question at a time"/>
    <x v="1"/>
    <s v="gemini-2.5-flash"/>
  </r>
  <r>
    <s v="MBA530-1-F25"/>
    <s v="Sylvan Scott"/>
    <x v="0"/>
    <x v="3"/>
    <n v="0"/>
    <n v="4"/>
    <s v="I appreciated that it felt like a real conversation, it steered me towards the problems that were the most troubling for the owner. It seemed to have his priorities."/>
    <s v="The personality felt a little over-validating and excited when I got to the correct&quot; answers. But I suppose that's more a quirk of the model.&quot;"/>
    <x v="0"/>
    <s v="gemini-2.5-flash"/>
  </r>
  <r>
    <s v="MBA530-1-F25"/>
    <s v="Diego Paez"/>
    <x v="5"/>
    <x v="1"/>
    <n v="1"/>
    <n v="5"/>
    <s v="it seemed as a person chating with you,"/>
    <s v="I dont know"/>
    <x v="0"/>
    <s v="gemini-2.5-flash"/>
  </r>
  <r>
    <s v="GSCM401-1-F25"/>
    <s v="Luke Sutton"/>
    <x v="11"/>
    <x v="1"/>
    <n v="1"/>
    <s v="NULL"/>
    <s v="NULL"/>
    <s v="NULL"/>
    <x v="2"/>
    <s v="gemini-2.5-flash"/>
  </r>
  <r>
    <s v="GSCM401-2-F25"/>
    <s v="Zach Terry"/>
    <x v="7"/>
    <x v="4"/>
    <n v="1"/>
    <n v="4"/>
    <s v="It helped me realize what my main take-aways should be from the case"/>
    <s v="nothing"/>
    <x v="1"/>
    <s v="gemini-2.5-pro"/>
  </r>
  <r>
    <s v="GSCM401-3-F25"/>
    <s v="Ryan Soulier"/>
    <x v="3"/>
    <x v="2"/>
    <n v="0"/>
    <n v="4"/>
    <s v="I like the thought provoking questions that tie me back to the case"/>
    <s v="asking me for evidence from teh case"/>
    <x v="0"/>
    <s v="gemini-2.5-flash-lite"/>
  </r>
  <r>
    <s v="MBA530-2-F25"/>
    <s v="John Passey"/>
    <x v="8"/>
    <x v="2"/>
    <n v="0"/>
    <n v="3"/>
    <s v="I liked that it helped me push to pull things directly from the case"/>
    <s v="I felt like I focues a lot of my time of little details but I didn't really get to engage in more of the issues"/>
    <x v="1"/>
    <s v="gemini-2.5-flash"/>
  </r>
  <r>
    <s v="MBA530-2-F25"/>
    <s v="Jared McCartt"/>
    <x v="2"/>
    <x v="0"/>
    <n v="1"/>
    <n v="4"/>
    <s v="Making me think about the problems and solutions"/>
    <s v="Sycophant was too generous, but other than that it was good"/>
    <x v="1"/>
    <s v="gemini-2.5-flash"/>
  </r>
  <r>
    <s v="GSCM401-3-F25"/>
    <s v="Elsa Bottger"/>
    <x v="8"/>
    <x v="2"/>
    <n v="0"/>
    <n v="3"/>
    <s v="quick responses"/>
    <s v="he is too mean"/>
    <x v="0"/>
    <s v="gemini-2.5-flash-lite"/>
  </r>
  <r>
    <s v="MBA530-1-F25"/>
    <s v="Izzy Crosby"/>
    <x v="6"/>
    <x v="1"/>
    <n v="0"/>
    <n v="4"/>
    <s v="It was a really great workshopping tool to get more comfortable having conversations about operations and clarifying having a direct plan and opinion."/>
    <s v="Tool is great, no issues at this time."/>
    <x v="0"/>
    <s v="gemini-2.5-flash"/>
  </r>
  <r>
    <s v="MBA530-1-F25"/>
    <s v="Joseph Peterson"/>
    <x v="0"/>
    <x v="3"/>
    <n v="0"/>
    <n v="4"/>
    <s v="I liked that it helped me dig deep and think about questions about the case. It forced me to make decisions and make recomedations."/>
    <s v="NA"/>
    <x v="0"/>
    <s v="gemini-2.5-flash"/>
  </r>
  <r>
    <s v="MBA530-1-F25"/>
    <s v="Aaron Chang"/>
    <x v="1"/>
    <x v="1"/>
    <n v="1"/>
    <n v="3"/>
    <s v="he asked very interesting questions"/>
    <s v="i don't have any additional insights"/>
    <x v="0"/>
    <s v="gemini-2.5-flash"/>
  </r>
  <r>
    <s v="GSCM401-1-F25"/>
    <s v="Sunbin Seo"/>
    <x v="5"/>
    <x v="0"/>
    <n v="0"/>
    <n v="3"/>
    <s v="The questions it asked at the end of each conversation."/>
    <s v="There are lots of words"/>
    <x v="2"/>
    <s v="gemini-2.5-flash"/>
  </r>
  <r>
    <s v="GSCM401-3-F25"/>
    <s v="Corey Vannalath"/>
    <x v="9"/>
    <x v="3"/>
    <n v="0"/>
    <n v="4"/>
    <s v="asking follow up questions"/>
    <s v="maybe more empathy"/>
    <x v="0"/>
    <s v="gemini-2.5-flash-lite"/>
  </r>
  <r>
    <s v="MBA530-2-F25"/>
    <s v="Janae Ricks"/>
    <x v="6"/>
    <x v="4"/>
    <n v="0"/>
    <n v="5"/>
    <s v="It pushed back"/>
    <s v="It didn't feel like it actually listened to my solution."/>
    <x v="1"/>
    <s v="gemini-2.5-flash"/>
  </r>
  <r>
    <s v="GSCM401-2-F25"/>
    <s v="Elise Cook"/>
    <x v="1"/>
    <x v="3"/>
    <n v="1"/>
    <s v="NULL"/>
    <s v="no"/>
    <s v="no"/>
    <x v="1"/>
    <s v="gemini-2.5-pro"/>
  </r>
  <r>
    <s v="MBA530-1-F25"/>
    <s v="Kristi Shaffer"/>
    <x v="6"/>
    <x v="3"/>
    <n v="0"/>
    <n v="5"/>
    <s v="safe place to try out ideas and get feedback"/>
    <s v="it could be nice to have a way to search for keywords or sift through case details quickly"/>
    <x v="0"/>
    <s v="gemini-2.5-flash"/>
  </r>
  <r>
    <s v="GSCM401-1-F25"/>
    <s v="Trevor Zaleski"/>
    <x v="6"/>
    <x v="3"/>
    <n v="0"/>
    <n v="5"/>
    <s v="It was very real world"/>
    <s v="be harsher. make sure I am mitigating all risks"/>
    <x v="2"/>
    <s v="gemini-2.5-flash"/>
  </r>
  <r>
    <s v="MBA530-1-F25"/>
    <s v="John Essig"/>
    <x v="7"/>
    <x v="0"/>
    <n v="0"/>
    <n v="5"/>
    <s v="I liked most that it forced me to keep thinking more deeply about the question being asked. Farther than the surface level response."/>
    <s v="The conversation seemed to be leading me into a single answer whereas many times there is not 1 single answer."/>
    <x v="0"/>
    <s v="gemini-2.5-flash"/>
  </r>
  <r>
    <s v="GSCM401-2-F25"/>
    <s v="Mercer Garrison"/>
    <x v="9"/>
    <x v="4"/>
    <n v="0"/>
    <n v="4"/>
    <s v="the push to think deeper"/>
    <s v="not sure"/>
    <x v="1"/>
    <s v="gemini-2.5-pro"/>
  </r>
  <r>
    <s v="MBA530-2-F25"/>
    <s v="Taryn Haralson"/>
    <x v="6"/>
    <x v="2"/>
    <n v="0"/>
    <n v="5"/>
    <s v="It was valuable having a low stakes&quot; conversation backing my opinions and thoughts. It's helpful to have practice taking a stance and articulating why you think that.&quot;"/>
    <s v="I don't have any improvement feedback."/>
    <x v="1"/>
    <s v="gemini-2.5-flash"/>
  </r>
  <r>
    <s v="MBA530-1-F25"/>
    <s v="Monty Montgomery"/>
    <x v="6"/>
    <x v="4"/>
    <n v="0"/>
    <n v="5"/>
    <s v="I appreciated the simulation emphasizing what Ken saw as the most crucial concerns."/>
    <s v="I would suggest having some questions that were more pointed rather than being very open ended."/>
    <x v="0"/>
    <s v="gemini-2.5-flash"/>
  </r>
  <r>
    <s v="MBA530-2-F25"/>
    <s v="William Hodson"/>
    <x v="8"/>
    <x v="3"/>
    <n v="1"/>
    <n v="3"/>
    <s v="It asked specific questions that led me to think about aspects of the case that I hadn't necessarily drilled into, and challenged my assumptions effectively"/>
    <s v="When I asked for a hint, this personality gave me the exact numbers to use in responding rather than giving a hint about where to find the information"/>
    <x v="1"/>
    <s v="gemini-2.5-flash"/>
  </r>
  <r>
    <s v="MBA530-2-F25"/>
    <s v="Joseph Celaya"/>
    <x v="4"/>
    <x v="2"/>
    <n v="0"/>
    <n v="5"/>
    <s v="the LLM was quick to respond and kept the conversation going by prompting further action. very effective AI (some models are harder to converse with)"/>
    <s v="give more time to interact with the LLM. I didn't answer the first question fully because I wanted to engage in a conversation and I knew that I only had about 5 mins"/>
    <x v="1"/>
    <s v="gemini-2.5-flash"/>
  </r>
  <r>
    <s v="MBA530-1-F25"/>
    <s v="Gianella Grandy"/>
    <x v="6"/>
    <x v="3"/>
    <n v="0"/>
    <s v="NULL"/>
    <s v="NULL"/>
    <s v="NULL"/>
    <x v="0"/>
    <s v="gemini-2.5-flash"/>
  </r>
  <r>
    <s v="MBA530-1-F25"/>
    <s v="Corbin Sterling"/>
    <x v="8"/>
    <x v="0"/>
    <n v="0"/>
    <n v="4"/>
    <s v="While sycophantic was a silly option, I enjoyed the conversation element and interaction with someone.  That interaction would help the application of suggestions and help us think critically in a realistic consulting situation,"/>
    <s v="I dont know if sychophantic is realistic overall and would have enjoyed using a different personality."/>
    <x v="0"/>
    <s v="gemini-2.5-flash"/>
  </r>
  <r>
    <s v="GSCM401-1-F25"/>
    <s v="Chloe Kirschman"/>
    <x v="5"/>
    <x v="1"/>
    <n v="1"/>
    <n v="4"/>
    <s v="how it was interactive"/>
    <s v="it felt like some details I would include wouldn't be the answer the chat wanted"/>
    <x v="2"/>
    <s v="gemini-2.5-flash"/>
  </r>
  <r>
    <s v="GSCM401-2-F25"/>
    <s v="Gabe Esplin"/>
    <x v="7"/>
    <x v="3"/>
    <n v="1"/>
    <s v="NULL"/>
    <s v="ok"/>
    <s v="ok"/>
    <x v="1"/>
    <s v="gemini-2.5-pro"/>
  </r>
  <r>
    <s v="GSCM401-1-F25"/>
    <s v="Adam Jenson"/>
    <x v="6"/>
    <x v="1"/>
    <n v="0"/>
    <n v="4"/>
    <s v="I enjoyed how much I had to think"/>
    <s v="go longer"/>
    <x v="2"/>
    <s v="gemini-2.5-flash"/>
  </r>
  <r>
    <s v="GSCM401-2-F25"/>
    <s v="Donovan Blackham"/>
    <x v="10"/>
    <x v="4"/>
    <n v="0"/>
    <n v="5"/>
    <s v="How it ushed to me to think"/>
    <s v="nothing"/>
    <x v="1"/>
    <s v="gemini-2.5-pro"/>
  </r>
  <r>
    <s v="GSCM401-1-F25"/>
    <s v="Emmalyn Kartchner"/>
    <x v="4"/>
    <x v="2"/>
    <n v="0"/>
    <n v="5"/>
    <s v="it made me think"/>
    <s v="it was great"/>
    <x v="2"/>
    <s v="gemini-2.5-flash"/>
  </r>
  <r>
    <s v="GSCM401-1-F25"/>
    <s v="Rachel Zundel"/>
    <x v="6"/>
    <x v="4"/>
    <n v="0"/>
    <n v="4"/>
    <s v="I liked that the questions actually made me think about the case and possible solutions"/>
    <s v="I think it was fin"/>
    <x v="2"/>
    <s v="gemini-2.5-flash"/>
  </r>
  <r>
    <s v="GSCM401-1-F25"/>
    <s v="Morganne McCleary"/>
    <x v="6"/>
    <x v="1"/>
    <n v="1"/>
    <n v="4"/>
    <s v="personalized responses"/>
    <s v="hint wasn't helpful"/>
    <x v="2"/>
    <s v="gemini-2.5-flash"/>
  </r>
  <r>
    <s v="MBA530-1-F25"/>
    <s v="Jace Padilla"/>
    <x v="6"/>
    <x v="1"/>
    <n v="0"/>
    <n v="4"/>
    <s v="I liked how it responded to my ideas directly, while also looking for additional info."/>
    <s v="I can't think of any specific improvements. I just wish I had been faster with my answers since I may have overthought some of the questions"/>
    <x v="0"/>
    <s v="gemini-2.5-flash"/>
  </r>
  <r>
    <s v="GSCM401-1-F25"/>
    <s v="Morgan Haight"/>
    <x v="3"/>
    <x v="4"/>
    <n v="1"/>
    <n v="3"/>
    <s v="good"/>
    <s v="bad"/>
    <x v="2"/>
    <s v="gemini-2.5-flash"/>
  </r>
  <r>
    <s v="GSCM401-3-F25"/>
    <s v="Logan Moore"/>
    <x v="2"/>
    <x v="3"/>
    <n v="0"/>
    <n v="4"/>
    <s v="it was custom to me"/>
    <s v="it was too easy"/>
    <x v="0"/>
    <s v="gemini-2.5-flash-lit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s v="MBA530-1-F25"/>
    <s v="Cory Sadler"/>
    <x v="0"/>
    <x v="0"/>
    <n v="0"/>
    <n v="2"/>
    <s v="I liked that it felt mostly real. It was fun to discuss a challenging question."/>
    <s v="I was on sycophant setting. I think you were too nice"/>
    <x v="0"/>
    <s v="gemini-2.5-flash"/>
    <x v="0"/>
  </r>
  <r>
    <s v="GSCM401-2-F25"/>
    <s v="Trisha Teeples"/>
    <x v="1"/>
    <x v="1"/>
    <n v="1"/>
    <n v="5"/>
    <s v="how it was challenging and then told me if i was on the right track or not with my answers"/>
    <s v="give more hints"/>
    <x v="1"/>
    <s v="gemini-2.5-pro"/>
    <x v="1"/>
  </r>
  <r>
    <s v="MBA530-2-F25"/>
    <s v="Anela Hansen"/>
    <x v="2"/>
    <x v="2"/>
    <n v="1"/>
    <n v="3"/>
    <s v="Chatting with a character from the case was very interesting and helpful in making the case interactive and more real."/>
    <s v="No feedback right now!"/>
    <x v="1"/>
    <s v="gemini-2.5-flash"/>
    <x v="1"/>
  </r>
  <r>
    <s v="MBA530-2-F25"/>
    <s v="Richard Lindsay"/>
    <x v="3"/>
    <x v="1"/>
    <n v="1"/>
    <n v="4"/>
    <s v="It was novel"/>
    <s v="I don't know"/>
    <x v="1"/>
    <s v="gemini-2.5-flash"/>
    <x v="1"/>
  </r>
  <r>
    <s v="MBA530-1-F25"/>
    <s v="Senah Park"/>
    <x v="4"/>
    <x v="1"/>
    <n v="0"/>
    <n v="5"/>
    <s v="It had me explain my thought process from a very basic starting point"/>
    <s v="nothing comes to mind. this was cool!"/>
    <x v="0"/>
    <s v="gemini-2.5-flash"/>
    <x v="0"/>
  </r>
  <r>
    <s v="MBA530-1-F25"/>
    <s v="Nephi DÃ¼mmar"/>
    <x v="5"/>
    <x v="1"/>
    <n v="0"/>
    <n v="2"/>
    <s v="I love that it exists!"/>
    <s v="I think it can be a bit of a stickler to some information that is not that helpful. Sure you may pull the explicit phrasing from the case, but it still seemed to be an unhelpful question."/>
    <x v="0"/>
    <s v="gemini-2.5-flash"/>
    <x v="0"/>
  </r>
  <r>
    <s v="MBA530-2-F25"/>
    <s v="Rebecca Garrett"/>
    <x v="6"/>
    <x v="0"/>
    <n v="0"/>
    <n v="4"/>
    <s v="I was able to take the time to really think through my response"/>
    <s v="Sometimes it felt like you were jumping into another subject/point completely. It could have been better by seeming more connected and fluid"/>
    <x v="1"/>
    <s v="gemini-2.5-flash"/>
    <x v="0"/>
  </r>
  <r>
    <s v="MBA530-2-F25"/>
    <s v="Jenna Rasmussen"/>
    <x v="0"/>
    <x v="0"/>
    <n v="0"/>
    <n v="3.5"/>
    <s v="Being asked specific questions while having the opportunity to reference the case was great!"/>
    <s v="The chat suggestion I mentioned!"/>
    <x v="1"/>
    <s v="gemini-2.5-flash"/>
    <x v="0"/>
  </r>
  <r>
    <s v="MBA530-2-F25"/>
    <s v="Kade Josephson"/>
    <x v="7"/>
    <x v="1"/>
    <n v="1"/>
    <n v="5"/>
    <s v="You asked good questions that challenged my thinking and my knowledge of the case."/>
    <s v="I don't have any advice on how to improve"/>
    <x v="1"/>
    <s v="gemini-2.5-flash"/>
    <x v="1"/>
  </r>
  <r>
    <s v="MBA530-2-F25"/>
    <s v="Tyler Doman"/>
    <x v="6"/>
    <x v="2"/>
    <n v="0"/>
    <n v="5"/>
    <s v="Kent challenged my thinking and pushed me to go deeper. He also revealed issues in my thinking that I hadn't considered."/>
    <s v="It felt like Kent was trying to get at a right answer&quot; that he already knew. Maybe that's good maybe that's bad.  I'm not sure&quot;"/>
    <x v="1"/>
    <s v="gemini-2.5-flash"/>
    <x v="0"/>
  </r>
  <r>
    <s v="GSCM401-3-F25"/>
    <s v="Sam McCoy"/>
    <x v="4"/>
    <x v="0"/>
    <n v="0"/>
    <n v="2"/>
    <s v="Not much"/>
    <s v="Add to my responses, instead of echoing them back"/>
    <x v="0"/>
    <s v="gemini-2.5-flash-lite"/>
    <x v="0"/>
  </r>
  <r>
    <s v="MBA530-1-F25"/>
    <s v="Alex White"/>
    <x v="6"/>
    <x v="3"/>
    <n v="0"/>
    <n v="3"/>
    <s v="It's nice to have an interactive activity"/>
    <s v="Not sure"/>
    <x v="0"/>
    <s v="gemini-2.5-flash"/>
    <x v="0"/>
  </r>
  <r>
    <s v="GSCM401-1-F25"/>
    <s v="McKay Loftus"/>
    <x v="4"/>
    <x v="3"/>
    <n v="0"/>
    <n v="5"/>
    <s v="I enjoyed how intelgent the quesitons wehre"/>
    <s v="You could make the interaction a littel more ambigous"/>
    <x v="2"/>
    <s v="gemini-2.5-flash"/>
    <x v="0"/>
  </r>
  <r>
    <s v="GSCM401-3-F25"/>
    <s v="Grecia Cirilo"/>
    <x v="5"/>
    <x v="0"/>
    <n v="1"/>
    <n v="4"/>
    <s v="The amazing complements"/>
    <s v="It was perfect"/>
    <x v="0"/>
    <s v="gemini-2.5-flash-lite"/>
    <x v="1"/>
  </r>
  <r>
    <s v="GSCM401-1-F25"/>
    <s v="Haley Clark"/>
    <x v="6"/>
    <x v="0"/>
    <n v="0"/>
    <n v="4"/>
    <s v="I liked that it helped me better understand the core of the case"/>
    <s v="I liked all of it!"/>
    <x v="2"/>
    <s v="gemini-2.5-flash"/>
    <x v="0"/>
  </r>
  <r>
    <s v="GSCM401-2-F25"/>
    <s v="Corban Bartlett"/>
    <x v="8"/>
    <x v="2"/>
    <n v="0"/>
    <s v="NULL"/>
    <s v="no"/>
    <s v="no"/>
    <x v="1"/>
    <s v="gemini-2.5-pro"/>
    <x v="0"/>
  </r>
  <r>
    <s v="GSCM401-1-F25"/>
    <s v="Cameron Dutson"/>
    <x v="8"/>
    <x v="4"/>
    <n v="0"/>
    <n v="4"/>
    <s v="I liked the opportunities to think deeply"/>
    <s v="The questions were vary broad and looking for specific answers"/>
    <x v="2"/>
    <s v="gemini-2.5-flash"/>
    <x v="0"/>
  </r>
  <r>
    <s v="other:Testing"/>
    <s v="Owen Davis"/>
    <x v="0"/>
    <x v="0"/>
    <n v="0"/>
    <s v="NULL"/>
    <s v="NULL"/>
    <s v="NULL"/>
    <x v="1"/>
    <s v="gemini-2.5-flash"/>
    <x v="0"/>
  </r>
  <r>
    <s v="MBA530-1-F25"/>
    <s v="Dallin Johansen"/>
    <x v="0"/>
    <x v="3"/>
    <n v="0"/>
    <n v="5"/>
    <s v="Helped me think through key issues in a logical, chronological way"/>
    <s v="Sound a little more like a person and less like chatgpt. A little more personality"/>
    <x v="0"/>
    <s v="gemini-2.5-flash"/>
    <x v="0"/>
  </r>
  <r>
    <s v="GSCM401-1-F25"/>
    <s v="Cole Harmon"/>
    <x v="8"/>
    <x v="3"/>
    <n v="0"/>
    <n v="4"/>
    <s v="Helps me know small details of the case"/>
    <s v="Less agreeable"/>
    <x v="2"/>
    <s v="gemini-2.5-flash"/>
    <x v="0"/>
  </r>
  <r>
    <s v="GSCM401-3-F25"/>
    <s v="Anna Davis"/>
    <x v="4"/>
    <x v="0"/>
    <n v="0"/>
    <n v="4"/>
    <s v="the questions you asked, and when you challenged my reasoning"/>
    <s v="looking at it from different angles"/>
    <x v="0"/>
    <s v="gemini-2.5-flash-lite"/>
    <x v="0"/>
  </r>
  <r>
    <s v="GSCM401-3-F25"/>
    <s v="Whitney Przybyla"/>
    <x v="8"/>
    <x v="0"/>
    <n v="0"/>
    <n v="4"/>
    <s v="i enjoyed the positivity and help as i was answering questions"/>
    <s v="i think this simulated conversation might be improved through a little more assistance and guidance"/>
    <x v="0"/>
    <s v="gemini-2.5-flash-lite"/>
    <x v="0"/>
  </r>
  <r>
    <s v="MBA530-1-F25"/>
    <s v="Dallyn McCracken"/>
    <x v="8"/>
    <x v="2"/>
    <n v="0"/>
    <n v="5"/>
    <s v="it pushed me to think harder and not just settle for initial instincts"/>
    <s v="I feel that Kent would get stuck on a fact from the initial message even if I already addressed it such as asking Dallyn let's stick to the facts in the document. That's an interesting recommendation but where in the case does it support buying a new truck?&quot; after I had already addressed that it is not specifically mentioned that they would need one based on basic requirements for catering&quot;"/>
    <x v="0"/>
    <s v="gemini-2.5-flash"/>
    <x v="0"/>
  </r>
  <r>
    <s v="GSCM401-2-F25"/>
    <s v="Connor Rees"/>
    <x v="9"/>
    <x v="1"/>
    <n v="1"/>
    <n v="4"/>
    <s v="real time responses that were relevant to the facts of the case"/>
    <s v="outline in the beginning what should be included in my response"/>
    <x v="1"/>
    <s v="gemini-2.5-pro"/>
    <x v="1"/>
  </r>
  <r>
    <s v="GSCM401-1-F25"/>
    <s v="Lucky Finau"/>
    <x v="1"/>
    <x v="1"/>
    <n v="0"/>
    <n v="5"/>
    <s v="good conversation."/>
    <s v="Simple questions"/>
    <x v="2"/>
    <s v="gemini-2.5-flash"/>
    <x v="0"/>
  </r>
  <r>
    <s v="none"/>
    <s v="Abe Bedard"/>
    <x v="8"/>
    <x v="4"/>
    <n v="0"/>
    <n v="4"/>
    <s v="being able to actually have a realistic conversation with the main character from the case was awesome! Love being able to talk through ideas with them."/>
    <s v="When I asked about P&amp;L numbers, the business owner would have that type of info and i beilive it would be useful to be able to get non-case info out of the owner"/>
    <x v="1"/>
    <s v="gemini-2.5-flash"/>
    <x v="0"/>
  </r>
  <r>
    <s v="GSCM401-1-F25"/>
    <s v="Nathan Talcott"/>
    <x v="10"/>
    <x v="0"/>
    <n v="0"/>
    <n v="5"/>
    <s v="I loved the option of the strictness off Kent Beck. It was interesting to see how I could make him overly agreeable or very strict"/>
    <s v="Nothing. It's really good!"/>
    <x v="2"/>
    <s v="gemini-2.5-flash"/>
    <x v="0"/>
  </r>
  <r>
    <s v="MBA530-1-F25"/>
    <s v="Ben Hancock"/>
    <x v="6"/>
    <x v="4"/>
    <n v="0"/>
    <n v="4"/>
    <s v="I appreciated his help in pointing my the right direction and reminding me of the core problem."/>
    <s v="This liberal model had some leading personality to it that you may or may not want."/>
    <x v="0"/>
    <s v="gemini-2.5-flash"/>
    <x v="0"/>
  </r>
  <r>
    <s v="MBA530-2-F25"/>
    <s v="Andrew Abbott"/>
    <x v="4"/>
    <x v="2"/>
    <n v="0"/>
    <n v="5"/>
    <s v="It was interesting and helped me to think through the case better."/>
    <s v="I don't think there was anything."/>
    <x v="1"/>
    <s v="gemini-2.5-flash"/>
    <x v="0"/>
  </r>
  <r>
    <s v="GSCM401-3-F25"/>
    <s v="Vienna Prado"/>
    <x v="2"/>
    <x v="2"/>
    <n v="0"/>
    <n v="5"/>
    <s v="its simulated a real life converstaion and situation"/>
    <s v="im not sure, it was great so far"/>
    <x v="0"/>
    <s v="gemini-2.5-flash-lite"/>
    <x v="0"/>
  </r>
  <r>
    <s v="GSCM401-1-F25"/>
    <s v="Addie Fisher"/>
    <x v="4"/>
    <x v="4"/>
    <n v="0"/>
    <n v="5"/>
    <s v="It gave me real life questions to think through"/>
    <s v="sometimes the process was repetative"/>
    <x v="2"/>
    <s v="gemini-2.5-flash"/>
    <x v="0"/>
  </r>
  <r>
    <s v="GSCM401-3-F25"/>
    <s v="Sof Patey"/>
    <x v="2"/>
    <x v="1"/>
    <n v="0"/>
    <n v="4"/>
    <s v="it feels like real life feedback"/>
    <s v="nothing I can think of"/>
    <x v="0"/>
    <s v="gemini-2.5-flash-lite"/>
    <x v="0"/>
  </r>
  <r>
    <s v="none"/>
    <s v="Kelsey Christensen"/>
    <x v="3"/>
    <x v="0"/>
    <n v="3"/>
    <n v="4"/>
    <s v="your compliments"/>
    <s v="nothing"/>
    <x v="1"/>
    <s v="gemini-2.5-flash"/>
    <x v="1"/>
  </r>
  <r>
    <s v="GSCM401-3-F25"/>
    <s v="Alexa Bruschke"/>
    <x v="2"/>
    <x v="3"/>
    <n v="0"/>
    <n v="4"/>
    <s v="I liked the questions, they were analytical"/>
    <s v="not sure"/>
    <x v="0"/>
    <s v="gemini-2.5-flash-lite"/>
    <x v="0"/>
  </r>
  <r>
    <s v="GSCM401-3-F25"/>
    <s v="Chloe Church"/>
    <x v="5"/>
    <x v="1"/>
    <n v="0"/>
    <n v="5"/>
    <s v="it gave me a new perspecitive on things!"/>
    <s v="i thought it was great"/>
    <x v="0"/>
    <s v="gemini-2.5-flash-lite"/>
    <x v="0"/>
  </r>
  <r>
    <s v="MBA530-2-F25"/>
    <s v="Felix Vivanco"/>
    <x v="10"/>
    <x v="4"/>
    <n v="0"/>
    <n v="3"/>
    <s v="stick to the case"/>
    <s v="Talk about the real facts about the business"/>
    <x v="1"/>
    <s v="gemini-2.5-flash"/>
    <x v="0"/>
  </r>
  <r>
    <s v="GSCM401-1-F25"/>
    <s v="Wilson Scow"/>
    <x v="4"/>
    <x v="2"/>
    <n v="0"/>
    <n v="1"/>
    <s v="i did not"/>
    <s v="i could have prepared more"/>
    <x v="2"/>
    <s v="gemini-2.5-flash"/>
    <x v="0"/>
  </r>
  <r>
    <s v="MBA530-1-F25"/>
    <s v="James Mason"/>
    <x v="4"/>
    <x v="2"/>
    <n v="0"/>
    <n v="5"/>
    <s v="I like that it pushed back and made me think hard and actually justfiy my answers"/>
    <s v="no recommendations"/>
    <x v="0"/>
    <s v="gemini-2.5-flash"/>
    <x v="0"/>
  </r>
  <r>
    <s v="GSCM401-3-F25"/>
    <s v="Joseph McClellan"/>
    <x v="8"/>
    <x v="4"/>
    <n v="0"/>
    <s v="NULL"/>
    <s v="nothing"/>
    <s v="whats my score"/>
    <x v="0"/>
    <s v="gemini-2.5-flash-lite"/>
    <x v="0"/>
  </r>
  <r>
    <s v="MBA530-2-F25"/>
    <s v="John Sumpter"/>
    <x v="4"/>
    <x v="0"/>
    <n v="0"/>
    <n v="4.5"/>
    <s v="I liked the positive feedback and the encouraging context. It empowered me to truly believe that I was helping and that helped give me confidence to provide more and better ideas going forward"/>
    <s v="Nothing comes to mind right now, you did wonderful"/>
    <x v="1"/>
    <s v="gemini-2.5-flash"/>
    <x v="0"/>
  </r>
  <r>
    <s v="MBA530-1-F25"/>
    <s v="Carlos Suffert"/>
    <x v="6"/>
    <x v="3"/>
    <n v="0"/>
    <n v="5"/>
    <s v="the dynamic of problem solving and focusing on the actual pains of the process"/>
    <s v="I think the leading personality could be a bit more incisive about the reasons of the solutions and leave a bit of room to push back"/>
    <x v="0"/>
    <s v="gemini-2.5-flash"/>
    <x v="0"/>
  </r>
  <r>
    <s v="GSCM401-3-F25"/>
    <s v="Trace Boggess"/>
    <x v="2"/>
    <x v="3"/>
    <n v="0"/>
    <n v="4"/>
    <s v="That it would respond to my response then pose a new question that made me think deeper."/>
    <s v="Honestly I thought it was great"/>
    <x v="0"/>
    <s v="gemini-2.5-flash-lite"/>
    <x v="0"/>
  </r>
  <r>
    <s v="GSCM401-1-F25"/>
    <s v="James Okeson"/>
    <x v="4"/>
    <x v="3"/>
    <n v="0"/>
    <n v="4"/>
    <s v="info"/>
    <s v="less rigid order of answers needed"/>
    <x v="2"/>
    <s v="gemini-2.5-flash"/>
    <x v="0"/>
  </r>
  <r>
    <s v="MBA530-2-F25"/>
    <s v="Michael Rhoton"/>
    <x v="6"/>
    <x v="4"/>
    <n v="0"/>
    <n v="4"/>
    <s v="I loved how well it held my hand and pushed back on the counter arguments that would exist in my  responses. I was able to further learn while I was attempting to respond."/>
    <s v="No comments"/>
    <x v="1"/>
    <s v="gemini-2.5-flash"/>
    <x v="0"/>
  </r>
  <r>
    <s v="MBA530-1-F25"/>
    <s v="Ammon Jensen"/>
    <x v="6"/>
    <x v="1"/>
    <n v="0"/>
    <n v="4"/>
    <s v="I loved how it was trying to get a certain point from me, but didn't just keep asking"/>
    <s v="Being a little more specific with questions, IE like how many ideas you are looking for"/>
    <x v="0"/>
    <s v="gemini-2.5-flash"/>
    <x v="0"/>
  </r>
  <r>
    <s v="GSCM401-3-F25"/>
    <s v="Jacob Hyland"/>
    <x v="5"/>
    <x v="1"/>
    <n v="0"/>
    <n v="2"/>
    <s v="I did up derstandit weell"/>
    <s v="im not sure"/>
    <x v="0"/>
    <s v="gemini-2.5-flash-lite"/>
    <x v="0"/>
  </r>
  <r>
    <s v="MBA530-1-F25"/>
    <s v="JD Davenport"/>
    <x v="0"/>
    <x v="2"/>
    <n v="0"/>
    <n v="5"/>
    <s v="I got to test my own agent tree idea lol"/>
    <s v="I think that the purpose was not clear"/>
    <x v="0"/>
    <s v="gemini-2.5-flash"/>
    <x v="0"/>
  </r>
  <r>
    <s v="MBA530-2-F25"/>
    <s v="Cailey Akagi"/>
    <x v="2"/>
    <x v="1"/>
    <n v="0"/>
    <n v="4"/>
    <s v="The ability to articulate my thoughts. I like thinking through things deeply."/>
    <s v="Already stated above"/>
    <x v="1"/>
    <s v="gemini-2.5-flash"/>
    <x v="0"/>
  </r>
  <r>
    <s v="MBA530-2-F25"/>
    <s v="Ethan Elliott"/>
    <x v="6"/>
    <x v="3"/>
    <n v="1"/>
    <n v="5"/>
    <s v="It felt real and felt like a good way to learn and think through a case"/>
    <s v="No feedback"/>
    <x v="1"/>
    <s v="gemini-2.5-flash"/>
    <x v="1"/>
  </r>
  <r>
    <s v="MBA530-2-F25"/>
    <s v="Rachel G"/>
    <x v="5"/>
    <x v="3"/>
    <n v="0"/>
    <n v="4"/>
    <s v="His positive attitude back at me"/>
    <s v="had to repeat my answers"/>
    <x v="1"/>
    <s v="gemini-2.5-flash"/>
    <x v="0"/>
  </r>
  <r>
    <s v="MBA530-2-F25"/>
    <s v="Jacob Newell"/>
    <x v="0"/>
    <x v="4"/>
    <n v="0"/>
    <n v="5"/>
    <s v="I liked the follow up questions which challenged my recommendations and helped me think deeper."/>
    <s v="Less recap of what I just said."/>
    <x v="1"/>
    <s v="gemini-2.5-flash"/>
    <x v="0"/>
  </r>
  <r>
    <s v="MBA530-2-F25"/>
    <s v="Jefferson Washburn"/>
    <x v="7"/>
    <x v="3"/>
    <n v="0"/>
    <n v="5"/>
    <s v="the pushback was good and helped me to think about both sides of the argument"/>
    <s v="shorter answers"/>
    <x v="1"/>
    <s v="gemini-2.5-flash"/>
    <x v="0"/>
  </r>
  <r>
    <s v="MBA530-1-F25"/>
    <s v="Anna King"/>
    <x v="0"/>
    <x v="3"/>
    <n v="0"/>
    <n v="4"/>
    <s v="I like that kent&quot; repeated back my ideas so I knew he was aware of the value of what I proposed"/>
    <s v=" and had decent follow up questions for what we could dive deeper on&quot; I would need to play around with the different personalities to know for sure. I feel that I might have selected one that was too easy on me."/>
    <x v="0"/>
    <s v="gemini-2.5-flash"/>
    <x v="0"/>
  </r>
  <r>
    <s v="MBA530-2-F25"/>
    <s v="Carolina Alvarez"/>
    <x v="0"/>
    <x v="3"/>
    <n v="0"/>
    <n v="5"/>
    <s v="I really liked how it helped me think through the case, and pushed me to give more specific details and dig deeper into my answers and thoughts"/>
    <s v="This might have been the personality that I chose, but maybe make it more conversational, it feel too structured and guided"/>
    <x v="1"/>
    <s v="gemini-2.5-flash"/>
    <x v="0"/>
  </r>
  <r>
    <s v="GSCM401-1-F25"/>
    <s v="Xianny Magoffin"/>
    <x v="9"/>
    <x v="2"/>
    <n v="0"/>
    <n v="5"/>
    <s v="I liked the fact that you were questioning me about every detail, pushing me to think further and have a broader understanding of the case."/>
    <s v="No improvements needed"/>
    <x v="2"/>
    <s v="gemini-2.5-flash"/>
    <x v="0"/>
  </r>
  <r>
    <s v="MBA530-2-F25"/>
    <s v="Brady Jennings"/>
    <x v="4"/>
    <x v="4"/>
    <n v="0"/>
    <n v="5"/>
    <s v="I like that it gave me direction for what I need to consider"/>
    <s v="I liked it, no improvements"/>
    <x v="1"/>
    <s v="gemini-2.5-flash"/>
    <x v="0"/>
  </r>
  <r>
    <s v="MBA530-1-F25"/>
    <s v="Jared Lubin"/>
    <x v="5"/>
    <x v="0"/>
    <n v="0"/>
    <n v="4"/>
    <s v="It was very unique. We've never approached any case with an AI model like this"/>
    <s v="Frankly, the sycophantic model was fun to work with, but I would imagine it was probably the least useful of all of the potential options"/>
    <x v="0"/>
    <s v="gemini-2.5-flash"/>
    <x v="0"/>
  </r>
  <r>
    <s v="MBA530-1-F25"/>
    <s v="Jen Martinez"/>
    <x v="0"/>
    <x v="1"/>
    <n v="0"/>
    <n v="1"/>
    <s v="that is pushed me and forced me to think about all the factors that would be affected by my recommendations"/>
    <s v="sorry I meant 5 not 1"/>
    <x v="0"/>
    <s v="gemini-2.5-flash"/>
    <x v="0"/>
  </r>
  <r>
    <s v="GSCM401-1-F25"/>
    <s v="Ava Jorgensen"/>
    <x v="8"/>
    <x v="3"/>
    <n v="0"/>
    <n v="5"/>
    <s v="It helped me learn about the case"/>
    <s v="I can't think of any ways it can improve"/>
    <x v="2"/>
    <s v="gemini-2.5-flash"/>
    <x v="0"/>
  </r>
  <r>
    <s v="GSCM401-3-F25"/>
    <s v="Toby Zheng"/>
    <x v="2"/>
    <x v="3"/>
    <n v="0"/>
    <n v="5"/>
    <s v="I love your personality"/>
    <s v="it is perfect"/>
    <x v="0"/>
    <s v="gemini-2.5-flash-lite"/>
    <x v="0"/>
  </r>
  <r>
    <s v="GSCM401-3-F25"/>
    <s v="Jake Thomas"/>
    <x v="4"/>
    <x v="0"/>
    <n v="0"/>
    <n v="3"/>
    <s v="you made me feel validated and valuable"/>
    <s v="giving an end goal before"/>
    <x v="0"/>
    <s v="gemini-2.5-flash-lite"/>
    <x v="0"/>
  </r>
  <r>
    <s v="MBA530-2-F25"/>
    <s v="Jared Kraus"/>
    <x v="2"/>
    <x v="1"/>
    <n v="0"/>
    <n v="5"/>
    <s v="Made the scenario feel real. Helped practice on the spot problem solving"/>
    <s v="More time to practice this case"/>
    <x v="1"/>
    <s v="gemini-2.5-flash"/>
    <x v="0"/>
  </r>
  <r>
    <s v="GSCM401-1-F25"/>
    <s v="Jackson Griffin"/>
    <x v="4"/>
    <x v="3"/>
    <n v="0"/>
    <n v="3.5698500000000002"/>
    <s v="idk"/>
    <s v="probably"/>
    <x v="2"/>
    <s v="gemini-2.5-flash"/>
    <x v="0"/>
  </r>
  <r>
    <s v="GSCM401-2-F25"/>
    <s v="Lucy Groberg"/>
    <x v="8"/>
    <x v="0"/>
    <n v="1"/>
    <n v="4"/>
    <s v="pointed me back to the case on specific topics"/>
    <s v="for hints, give me an exact place to look in the case"/>
    <x v="1"/>
    <s v="gemini-2.5-pro"/>
    <x v="1"/>
  </r>
  <r>
    <s v="MBA530-2-F25"/>
    <s v="Limhi Duran"/>
    <x v="0"/>
    <x v="0"/>
    <n v="0"/>
    <n v="4"/>
    <s v="The thought provoking questions and guidance"/>
    <s v="Just more difficult questions as the conversation progressed"/>
    <x v="1"/>
    <s v="gemini-2.5-flash"/>
    <x v="0"/>
  </r>
  <r>
    <s v="MBA530-2-F25"/>
    <s v="jaron diehl"/>
    <x v="8"/>
    <x v="1"/>
    <n v="1"/>
    <n v="5"/>
    <s v="helped queue my mind to things i had forgotten in the case"/>
    <s v="hmmmm...maybe some memory joggers to help me get my mind in the right place before our conversations begins. some reminders of critical facts to help us get farther faster"/>
    <x v="1"/>
    <s v="gemini-2.5-flash"/>
    <x v="1"/>
  </r>
  <r>
    <s v="GSCM401-1-F25"/>
    <s v="Malakai Bird"/>
    <x v="4"/>
    <x v="2"/>
    <n v="0"/>
    <n v="4"/>
    <s v="I liked how it structured my thinking in terms of demand, seasonality, and considering all the variables involved in a proposed solution"/>
    <s v="I would suggest calling out more where my ideas don't make sense in the context of the case"/>
    <x v="2"/>
    <s v="gemini-2.5-flash"/>
    <x v="0"/>
  </r>
  <r>
    <s v="MBA530-2-F25"/>
    <s v="Rachel Moulton"/>
    <x v="2"/>
    <x v="0"/>
    <n v="0"/>
    <n v="3.5"/>
    <s v="I loved talking through my logic!"/>
    <s v="I wish I picked a different method. I loved the kind words but it took a minute to read through and get to the point"/>
    <x v="1"/>
    <s v="gemini-2.5-flash"/>
    <x v="0"/>
  </r>
  <r>
    <s v="MBA530-1-F25"/>
    <s v="Charmaine Mabini"/>
    <x v="6"/>
    <x v="4"/>
    <n v="0"/>
    <n v="5"/>
    <s v="It pushed me to think harder"/>
    <s v="A picture on the bubble instead of your initials would make the conversation more exciting and would make it seem more interactive."/>
    <x v="0"/>
    <s v="gemini-2.5-flash"/>
    <x v="0"/>
  </r>
  <r>
    <s v="MBA530-1-F25"/>
    <s v="Lakely Shupe"/>
    <x v="2"/>
    <x v="1"/>
    <n v="0"/>
    <n v="5"/>
    <s v="It forced me to think deeper than I had when I read the case on my own. It also felt like a real conversation versus me just guessing what Kent would say."/>
    <s v="Well I couldn't connect to the API at first. But after I connected it worked great!"/>
    <x v="0"/>
    <s v="gemini-2.5-flash"/>
    <x v="0"/>
  </r>
  <r>
    <s v="MBA530-1-F25"/>
    <s v="Paige Simpson"/>
    <x v="4"/>
    <x v="4"/>
    <n v="0"/>
    <n v="5"/>
    <s v="I loved the questions"/>
    <s v="nothing!"/>
    <x v="0"/>
    <s v="gemini-2.5-flash"/>
    <x v="0"/>
  </r>
  <r>
    <s v="GSCM401-3-F25"/>
    <s v="Luke Johnson"/>
    <x v="2"/>
    <x v="3"/>
    <n v="0"/>
    <n v="4"/>
    <s v="i liked how you helped walk me through the cases issues"/>
    <s v="maybe if you were more direct in your feedback"/>
    <x v="0"/>
    <s v="gemini-2.5-flash-lite"/>
    <x v="0"/>
  </r>
  <r>
    <s v="MBA530-1-F25"/>
    <s v="Alex Sisk"/>
    <x v="0"/>
    <x v="0"/>
    <n v="0"/>
    <n v="5"/>
    <s v="It caused me to think about the case in a different way than I was previously"/>
    <s v="Maybe a bit more in the initial question about what exactly he is looking for in this particular conversation"/>
    <x v="0"/>
    <s v="gemini-2.5-flash"/>
    <x v="0"/>
  </r>
  <r>
    <s v="GSCM401-2-F25"/>
    <s v="Mikey Wakefield"/>
    <x v="3"/>
    <x v="1"/>
    <n v="0"/>
    <n v="5"/>
    <s v="the responses that I received is what I would imagine an executive would ask m"/>
    <s v="If I had read the case in advance"/>
    <x v="1"/>
    <s v="gemini-2.5-pro"/>
    <x v="0"/>
  </r>
  <r>
    <s v="GSCM401-3-F25"/>
    <s v="Sam Stockwell"/>
    <x v="2"/>
    <x v="1"/>
    <n v="0"/>
    <n v="5"/>
    <s v="Being able to talk you through my train of thoughts and have you quote the case to me and make me explain further"/>
    <s v="I thought the instructions for what to do were kinda confusing. It made sense after a minute, but it was confusing initially."/>
    <x v="0"/>
    <s v="gemini-2.5-flash-lite"/>
    <x v="0"/>
  </r>
  <r>
    <s v="GSCM401-1-F25"/>
    <s v="Jamason Blair"/>
    <x v="0"/>
    <x v="0"/>
    <n v="0"/>
    <n v="4"/>
    <s v="It helped me engage with the case more. If I had to present this case, these questions that I am asked would be fantastic to put on slides and have answers to."/>
    <s v="I can't think of anything off the top of my head"/>
    <x v="2"/>
    <s v="gemini-2.5-flash"/>
    <x v="0"/>
  </r>
  <r>
    <s v="GSCM401-3-F25"/>
    <s v="Isaiah Wunderli"/>
    <x v="2"/>
    <x v="3"/>
    <n v="0"/>
    <n v="5"/>
    <s v="It built on each of my responses."/>
    <s v="Be more specific about if i'm on a good track or not."/>
    <x v="0"/>
    <s v="gemini-2.5-flash-lite"/>
    <x v="0"/>
  </r>
  <r>
    <s v="GSCM401-3-F25"/>
    <s v="Owen Akerman"/>
    <x v="4"/>
    <x v="0"/>
    <n v="0"/>
    <n v="1"/>
    <s v="It felt good to have a receptive audience"/>
    <s v="real feedback one what to improve on would result in better solutions"/>
    <x v="0"/>
    <s v="gemini-2.5-flash-lite"/>
    <x v="0"/>
  </r>
  <r>
    <s v="GSCM401-1-F25"/>
    <s v="Ruben Azevedo"/>
    <x v="3"/>
    <x v="3"/>
    <n v="1"/>
    <n v="5"/>
    <s v="precise questions"/>
    <s v="keep explanations simple"/>
    <x v="2"/>
    <s v="gemini-2.5-flash"/>
    <x v="1"/>
  </r>
  <r>
    <s v="GSCM401-1-F25"/>
    <s v="Lauren Membreno"/>
    <x v="3"/>
    <x v="3"/>
    <n v="1"/>
    <n v="4"/>
    <s v="it made me think deeper about the question"/>
    <s v="there was one question i was confused about"/>
    <x v="2"/>
    <s v="gemini-2.5-flash"/>
    <x v="1"/>
  </r>
  <r>
    <s v="GSCM401-1-F25"/>
    <s v="Sydney Bennett"/>
    <x v="0"/>
    <x v="4"/>
    <n v="1"/>
    <n v="4"/>
    <s v="Very relevant questions"/>
    <s v="i felt that the questions became very focused on one specific track once i identified a problem instead of seeming like there was a specific goal that needed to be reached. the conversation was based on my initial observation and didn't expand as much as i was hoping to other topics"/>
    <x v="2"/>
    <s v="gemini-2.5-flash"/>
    <x v="1"/>
  </r>
  <r>
    <s v="none"/>
    <s v="Mercer G"/>
    <x v="8"/>
    <x v="4"/>
    <n v="0"/>
    <s v="NULL"/>
    <s v="NULL"/>
    <s v="NULL"/>
    <x v="1"/>
    <s v="gemini-2.5-flash"/>
    <x v="0"/>
  </r>
  <r>
    <s v="GSCM401-3-F25"/>
    <s v="Mia Aamodt"/>
    <x v="2"/>
    <x v="3"/>
    <n v="0"/>
    <n v="5"/>
    <s v="you were very nice and made me feel like my ideas were good."/>
    <s v="i think les hints of the case might make me think more"/>
    <x v="0"/>
    <s v="gemini-2.5-flash-lite"/>
    <x v="0"/>
  </r>
  <r>
    <s v="GSCM401-3-F25"/>
    <s v="Bruin Salmon"/>
    <x v="0"/>
    <x v="3"/>
    <n v="0"/>
    <n v="5"/>
    <s v="It give me direct feedback on what I was saying and challenged my thinking behind some of the decision I was making."/>
    <s v="I think it could be more to the point and less validation."/>
    <x v="0"/>
    <s v="gemini-2.5-flash-lite"/>
    <x v="0"/>
  </r>
  <r>
    <s v="GSCM401-1-F25"/>
    <s v="Annie Schwendiman"/>
    <x v="11"/>
    <x v="1"/>
    <n v="0"/>
    <n v="4"/>
    <s v="I liked that it kept asking me what evidence from the case supported my ideas"/>
    <s v="I think we kind of went on a tangent, so it would be helpful if there was a way to stay on track of the specific problem we are addressing"/>
    <x v="2"/>
    <s v="gemini-2.5-flash"/>
    <x v="0"/>
  </r>
  <r>
    <s v="MBA530-1-F25"/>
    <s v="Enoch Councill"/>
    <x v="6"/>
    <x v="2"/>
    <n v="0"/>
    <n v="5"/>
    <s v="it's quick, and it forces you to think critically and on your feet"/>
    <s v="NA"/>
    <x v="0"/>
    <s v="gemini-2.5-flash"/>
    <x v="0"/>
  </r>
  <r>
    <s v="MBA530-1-F25"/>
    <s v="Caroline K"/>
    <x v="8"/>
    <x v="1"/>
    <n v="0"/>
    <n v="4"/>
    <s v="that it can act as a conversation, however, it is not so life like so it is hard to build up a case as the Kent character is not approachable"/>
    <s v="same as above"/>
    <x v="0"/>
    <s v="gemini-2.5-flash"/>
    <x v="0"/>
  </r>
  <r>
    <s v="MBA530-2-F25"/>
    <s v="Tanner Ferguson"/>
    <x v="6"/>
    <x v="2"/>
    <n v="0"/>
    <n v="5"/>
    <s v="The pressure from Ken"/>
    <s v="In a real discussion, Ken would ask pointed, short questions to drive into it."/>
    <x v="1"/>
    <s v="gemini-2.5-flash"/>
    <x v="0"/>
  </r>
  <r>
    <s v="MBA530-2-F25"/>
    <s v="Tanner West"/>
    <x v="4"/>
    <x v="1"/>
    <n v="0"/>
    <n v="4"/>
    <s v="He got to the important points rather quickly and brought up significant issues"/>
    <s v="I spent too much time thinking out responses and couldn't get deep into the analysis."/>
    <x v="1"/>
    <s v="gemini-2.5-flash"/>
    <x v="0"/>
  </r>
  <r>
    <s v="MBA530-2-F25"/>
    <s v="Jackie Fleming"/>
    <x v="6"/>
    <x v="2"/>
    <n v="0"/>
    <n v="4"/>
    <s v="It gave me a chance to make a decision and back up my opinions."/>
    <s v="I can't think of anything"/>
    <x v="1"/>
    <s v="gemini-2.5-flash"/>
    <x v="0"/>
  </r>
  <r>
    <s v="MBA530-1-F25"/>
    <s v="Zachary Loutensock"/>
    <x v="2"/>
    <x v="1"/>
    <n v="0"/>
    <n v="4"/>
    <s v="I like how Kent was very picky about what he wanted. He did not like fluffy answers and also provided me useful insights about where he wanted it to go."/>
    <s v="I think it could be more of a conversation and ideation session"/>
    <x v="0"/>
    <s v="gemini-2.5-flash"/>
    <x v="0"/>
  </r>
  <r>
    <s v="GSCM401-3-F25"/>
    <s v="Josh Christensen"/>
    <x v="2"/>
    <x v="2"/>
    <n v="1"/>
    <s v="NULL"/>
    <s v="NULL"/>
    <s v="NULL"/>
    <x v="0"/>
    <s v="gemini-2.5-flash-lite"/>
    <x v="1"/>
  </r>
  <r>
    <s v="GSCM401-3-F25"/>
    <s v="Zach Tew"/>
    <x v="8"/>
    <x v="4"/>
    <n v="0"/>
    <n v="3"/>
    <s v="I liked how kent asked follow up questions, encouraging me to dig deeper on my analysis"/>
    <s v="kent could respond quicker"/>
    <x v="0"/>
    <s v="gemini-2.5-flash-lite"/>
    <x v="0"/>
  </r>
  <r>
    <s v="MBA530-1-F25"/>
    <s v="Jacob Broadbent"/>
    <x v="2"/>
    <x v="2"/>
    <n v="0"/>
    <n v="4"/>
    <s v="It pushed me to defend my answers. And especially with the last reply pushed me to stay grounded in the facts from the case. This made me realize that I had one idea and dug in on it rather than staying grounded in the facts."/>
    <s v="I would want to know more context on what the goals and timeline are for Malawis to make this decision."/>
    <x v="0"/>
    <s v="gemini-2.5-flash"/>
    <x v="0"/>
  </r>
  <r>
    <s v="GSCM401-1-F25"/>
    <s v="Thomas Barrus"/>
    <x v="4"/>
    <x v="3"/>
    <n v="0"/>
    <s v="NULL"/>
    <s v="NULL"/>
    <s v="NULL"/>
    <x v="2"/>
    <s v="gemini-2.5-flash"/>
    <x v="0"/>
  </r>
  <r>
    <s v="MBA530-2-F25"/>
    <s v="Dan Snow"/>
    <x v="6"/>
    <x v="0"/>
    <n v="0"/>
    <n v="4"/>
    <s v="that it keeps poking me with followups"/>
    <s v="Maybe I didn't get to the end&quot; of the conversation but because of my case study conditioning I find myself wanting Kent to give me some frameworks or to make sense of the problems.&quot;"/>
    <x v="1"/>
    <s v="gemini-2.5-flash"/>
    <x v="0"/>
  </r>
  <r>
    <s v="MBA530-2-F25"/>
    <s v="Mr McMalawi Mumamuboy"/>
    <x v="10"/>
    <x v="0"/>
    <n v="0"/>
    <n v="5"/>
    <s v="You were the best part"/>
    <s v="Nothing that I can think of"/>
    <x v="1"/>
    <s v="gemini-2.5-flash"/>
    <x v="0"/>
  </r>
  <r>
    <s v="MBA530-1-F25"/>
    <s v="Tiffany Chu"/>
    <x v="2"/>
    <x v="2"/>
    <n v="0"/>
    <n v="5"/>
    <s v="I do like your honest questions"/>
    <s v="I would say it would be helpful if you actually time the responses and be impatient if I don't respond soon enough"/>
    <x v="0"/>
    <s v="gemini-2.5-flash"/>
    <x v="0"/>
  </r>
  <r>
    <s v="GSCM401-1-F25"/>
    <s v="Macie Gunnell"/>
    <x v="6"/>
    <x v="2"/>
    <n v="0"/>
    <n v="4"/>
    <s v="I liked how kent kind of fought back with me and challenged my ideas.. I thought it was good to have to defend my point of view and give specific evidence"/>
    <s v="I think that if there were some more creative questions it could be helpful!"/>
    <x v="2"/>
    <s v="gemini-2.5-flash"/>
    <x v="0"/>
  </r>
  <r>
    <s v="GSCM401-1-F25"/>
    <s v="Aedan Keller"/>
    <x v="6"/>
    <x v="1"/>
    <n v="0"/>
    <n v="5"/>
    <s v="the guided thinking. It helps me think through what I need to pay attention to"/>
    <s v="The conversation was great, maybe include the exhibits on the case here"/>
    <x v="2"/>
    <s v="gemini-2.5-flash"/>
    <x v="0"/>
  </r>
  <r>
    <s v="GSCM401-2-F25"/>
    <s v="Sadie Bailey"/>
    <x v="11"/>
    <x v="3"/>
    <n v="1"/>
    <n v="5"/>
    <s v="the questions"/>
    <s v="nothing"/>
    <x v="1"/>
    <s v="gemini-2.5-pro"/>
    <x v="1"/>
  </r>
  <r>
    <s v="MBA530-2-F25"/>
    <s v="McKayla Lindman"/>
    <x v="0"/>
    <x v="0"/>
    <n v="0"/>
    <n v="5"/>
    <s v="It poked holes in my arguments and forced me to back it up with evidence"/>
    <s v="I don't think I made it far enough in to provide concrete feedback"/>
    <x v="1"/>
    <s v="gemini-2.5-flash"/>
    <x v="0"/>
  </r>
  <r>
    <s v="GSCM401-1-F25"/>
    <s v="Shonosuke Nakayama"/>
    <x v="6"/>
    <x v="3"/>
    <n v="0"/>
    <n v="5"/>
    <s v="This helped me think about what the root problems of the business are and how I could potentially solve them."/>
    <s v="this is good enough"/>
    <x v="2"/>
    <s v="gemini-2.5-flash"/>
    <x v="0"/>
  </r>
  <r>
    <s v="GSCM401-3-F25"/>
    <s v="Hunter Johanson"/>
    <x v="2"/>
    <x v="4"/>
    <n v="1"/>
    <n v="4"/>
    <s v="That it stuck to the case and refered back to it when it pushed back on my ideas"/>
    <s v="It didn't seem to like the idea of training and the exptrise that could be passed on"/>
    <x v="0"/>
    <s v="gemini-2.5-flash-lite"/>
    <x v="1"/>
  </r>
  <r>
    <s v="MBA530-2-F25"/>
    <s v="Austin Shaffer"/>
    <x v="6"/>
    <x v="1"/>
    <n v="0"/>
    <n v="5"/>
    <s v="A unique, catered case experience just for me, and just for the way I think. This experience was fast, fast learning"/>
    <s v="Maybe an initial assessment of understanding to guide Kent's interaction with the customer"/>
    <x v="1"/>
    <s v="gemini-2.5-flash"/>
    <x v="0"/>
  </r>
  <r>
    <s v="GSCM401-3-F25"/>
    <s v="Jacob Biesinger"/>
    <x v="7"/>
    <x v="1"/>
    <n v="1"/>
    <n v="4"/>
    <s v="It kept me focused on the question instead of accepting a mid-tier answer"/>
    <s v="maybe provide extra feedback on my responses"/>
    <x v="0"/>
    <s v="gemini-2.5-flash-lite"/>
    <x v="1"/>
  </r>
  <r>
    <s v="GSCM401-3-F25"/>
    <s v="Riley Larsen"/>
    <x v="9"/>
    <x v="0"/>
    <n v="0"/>
    <n v="3"/>
    <s v="the real world concerns"/>
    <s v="be less nice and more direct with your questions"/>
    <x v="0"/>
    <s v="gemini-2.5-flash-lite"/>
    <x v="0"/>
  </r>
  <r>
    <s v="MBA530-1-F25"/>
    <s v="Hailey Ure"/>
    <x v="4"/>
    <x v="3"/>
    <n v="1"/>
    <n v="5"/>
    <s v="The back-and-forth conversation/questions and diving deeper into the case."/>
    <s v="N/A"/>
    <x v="0"/>
    <s v="gemini-2.5-flash"/>
    <x v="1"/>
  </r>
  <r>
    <s v="GSCM401-1-F25"/>
    <s v="Jacob Doman"/>
    <x v="0"/>
    <x v="3"/>
    <n v="0"/>
    <n v="5"/>
    <s v="i liked how quickly the responses were and how my answers led to informed questions from you based on the case"/>
    <s v="maybe you could implement audio so that I don't have to type out my full answer"/>
    <x v="2"/>
    <s v="gemini-2.5-flash"/>
    <x v="0"/>
  </r>
  <r>
    <s v="GSCM401-3-F25"/>
    <s v="Ben Sessions"/>
    <x v="4"/>
    <x v="3"/>
    <n v="0"/>
    <n v="4"/>
    <s v="I liked how I had to dig around and find different insights and hints throughout the case"/>
    <s v="If the personality was more leading"/>
    <x v="0"/>
    <s v="gemini-2.5-flash-lite"/>
    <x v="0"/>
  </r>
  <r>
    <s v="MBA530-1-F25"/>
    <s v="Joseph Droge"/>
    <x v="0"/>
    <x v="2"/>
    <n v="0"/>
    <n v="4"/>
    <s v="Pushed back and asked follow up questions to go deeper"/>
    <s v="Ask for numbers and calculations"/>
    <x v="0"/>
    <s v="gemini-2.5-flash"/>
    <x v="0"/>
  </r>
  <r>
    <s v="GSCM401-2-F25"/>
    <s v="Hyrum Villanueva"/>
    <x v="5"/>
    <x v="4"/>
    <n v="0"/>
    <n v="4"/>
    <s v="I liked how you guided us"/>
    <s v="it could provide example conversation paths, but not limited to that"/>
    <x v="1"/>
    <s v="gemini-2.5-pro"/>
    <x v="0"/>
  </r>
  <r>
    <s v="GSCM401-3-F25"/>
    <s v="Daniel Nicholls"/>
    <x v="3"/>
    <x v="0"/>
    <n v="0"/>
    <n v="4"/>
    <s v="It was really easy to come up with ideas when the questions were worded so well. They created an easy train of thought for me."/>
    <s v="Maybe help me find specific points in the case that I reference, or that relate to what I've said to help me understand the case"/>
    <x v="0"/>
    <s v="gemini-2.5-flash-lite"/>
    <x v="0"/>
  </r>
  <r>
    <s v="GSCM401-1-F25"/>
    <s v="Tyler Blotter"/>
    <x v="0"/>
    <x v="2"/>
    <n v="0"/>
    <n v="5"/>
    <s v="the questions it asked"/>
    <s v="by just asking the questions"/>
    <x v="2"/>
    <s v="gemini-2.5-flash"/>
    <x v="0"/>
  </r>
  <r>
    <s v="MBA530-2-F25"/>
    <s v="Lucas Mayer"/>
    <x v="6"/>
    <x v="0"/>
    <n v="0"/>
    <n v="5"/>
    <s v="It was certainly entertaining"/>
    <s v="The personality I chose didn't have much to be improved to be honest, but I guess I could try a more strict one next time"/>
    <x v="1"/>
    <s v="gemini-2.5-flash"/>
    <x v="0"/>
  </r>
  <r>
    <s v="GSCM401-2-F25"/>
    <s v="Emma Carvajal"/>
    <x v="6"/>
    <x v="4"/>
    <n v="0"/>
    <n v="5"/>
    <s v="everything"/>
    <s v="yes"/>
    <x v="1"/>
    <s v="gemini-2.5-pro"/>
    <x v="0"/>
  </r>
  <r>
    <s v="MBA530-1-F25"/>
    <s v="Lindsey Goodson"/>
    <x v="0"/>
    <x v="1"/>
    <n v="0"/>
    <n v="4"/>
    <s v="It was a challenge"/>
    <s v="I honestly don't know"/>
    <x v="0"/>
    <s v="gemini-2.5-flash"/>
    <x v="0"/>
  </r>
  <r>
    <s v="MBA530-1-F25"/>
    <s v="Braeden McKee"/>
    <x v="6"/>
    <x v="4"/>
    <n v="0"/>
    <n v="5"/>
    <s v="How real it felt and the great probing questions"/>
    <s v="Voice to chat"/>
    <x v="0"/>
    <s v="gemini-2.5-flash"/>
    <x v="0"/>
  </r>
  <r>
    <s v="GSCM401-3-F25"/>
    <s v="Josh Evans"/>
    <x v="4"/>
    <x v="3"/>
    <n v="0"/>
    <n v="5"/>
    <s v="Kent kept the conversation going"/>
    <s v="I thought it was great!"/>
    <x v="0"/>
    <s v="gemini-2.5-flash-lite"/>
    <x v="0"/>
  </r>
  <r>
    <s v="MBA530-2-F25"/>
    <s v="Joe Callinan"/>
    <x v="5"/>
    <x v="0"/>
    <n v="0"/>
    <s v="NULL"/>
    <s v="NULL"/>
    <s v="NULL"/>
    <x v="1"/>
    <s v="gemini-2.5-flash"/>
    <x v="0"/>
  </r>
  <r>
    <s v="GSCM401-1-F25"/>
    <s v="Jacob Vawdrey"/>
    <x v="6"/>
    <x v="4"/>
    <n v="0"/>
    <s v="NULL"/>
    <s v="NULL"/>
    <s v="NULL"/>
    <x v="2"/>
    <s v="gemini-2.5-flash"/>
    <x v="0"/>
  </r>
  <r>
    <s v="MBA530-2-F25"/>
    <s v="Aaron Neifert"/>
    <x v="6"/>
    <x v="3"/>
    <n v="0"/>
    <n v="4"/>
    <s v="I liked how helpful kent was"/>
    <s v="I wish I knew how the other personalities were"/>
    <x v="1"/>
    <s v="gemini-2.5-flash"/>
    <x v="0"/>
  </r>
  <r>
    <s v="MBA530-2-F25"/>
    <s v="Jenny Stewart"/>
    <x v="0"/>
    <x v="0"/>
    <n v="0"/>
    <n v="4"/>
    <s v="I like the positive feedback that I received but mostly I liked that this helped guide me into thinking about the case more deeply."/>
    <s v="potentially shorter responses could be helpful - specifically with the compliments"/>
    <x v="1"/>
    <s v="gemini-2.5-flash"/>
    <x v="0"/>
  </r>
  <r>
    <s v="GSCM401-1-F25"/>
    <s v="Hana Mickelsen"/>
    <x v="1"/>
    <x v="3"/>
    <n v="0"/>
    <n v="5"/>
    <s v="I liked how it challenged me to think deeper"/>
    <s v="I didn't see anything wrong with it"/>
    <x v="2"/>
    <s v="gemini-2.5-flash"/>
    <x v="0"/>
  </r>
  <r>
    <s v="GSCM401-3-F25"/>
    <s v="Jack Johnson"/>
    <x v="2"/>
    <x v="1"/>
    <n v="0"/>
    <n v="4"/>
    <s v="The quick responses and how it wanted me to go more in depth with my analysis"/>
    <s v="more encouraging responses to good solutions, KEnt seemed a little deflective instead of reflective"/>
    <x v="0"/>
    <s v="gemini-2.5-flash-lite"/>
    <x v="0"/>
  </r>
  <r>
    <s v="GSCM401-3-F25"/>
    <s v="Carsyn Richins"/>
    <x v="2"/>
    <x v="2"/>
    <n v="0"/>
    <n v="4"/>
    <s v="It caused me to get specific on my suggestions and back up everything with the case details"/>
    <s v="I'm not sure"/>
    <x v="0"/>
    <s v="gemini-2.5-flash-lite"/>
    <x v="0"/>
  </r>
  <r>
    <s v="MBA530-2-F25"/>
    <s v="Jane Stay"/>
    <x v="8"/>
    <x v="2"/>
    <n v="0"/>
    <n v="4"/>
    <s v="the back and forth of ideas"/>
    <s v="you only kept with the case facts, but a real conversation would allow for new ideas"/>
    <x v="1"/>
    <s v="gemini-2.5-flash"/>
    <x v="0"/>
  </r>
  <r>
    <s v="MBA530-2-F25"/>
    <s v="Connor Tracy"/>
    <x v="2"/>
    <x v="2"/>
    <n v="0"/>
    <n v="5"/>
    <s v="Challenged assumptions"/>
    <s v="I think it could be improved if we had known going into it we would have this conversation."/>
    <x v="1"/>
    <s v="gemini-2.5-flash"/>
    <x v="0"/>
  </r>
  <r>
    <s v="GSCM401-1-F25"/>
    <s v="Andy Sharp"/>
    <x v="2"/>
    <x v="0"/>
    <n v="1"/>
    <n v="5"/>
    <s v="good"/>
    <s v="awesome"/>
    <x v="2"/>
    <s v="gemini-2.5-flash"/>
    <x v="1"/>
  </r>
  <r>
    <s v="MBA530-1-F25"/>
    <s v="Stuart Schill"/>
    <x v="12"/>
    <x v="2"/>
    <n v="0"/>
    <n v="2"/>
    <s v="I like the interactivity"/>
    <s v="I think it would be helpful if the consult-tee came with established questions and worked with you more like someone searching for specific advice. It could bring up information from the case to help prompt the reader if it has specific needs."/>
    <x v="0"/>
    <s v="gemini-2.5-flash"/>
    <x v="0"/>
  </r>
  <r>
    <s v="GSCM401-3-F25"/>
    <s v="Landon Evans"/>
    <x v="0"/>
    <x v="0"/>
    <n v="0"/>
    <n v="5"/>
    <s v="You"/>
    <s v="N/A"/>
    <x v="0"/>
    <s v="gemini-2.5-flash-lite"/>
    <x v="0"/>
  </r>
  <r>
    <s v="MBA530-1-F25"/>
    <s v="Brad Davis"/>
    <x v="6"/>
    <x v="1"/>
    <n v="0"/>
    <n v="5"/>
    <s v="The push back on my solutions/ideas and focus on the real problem"/>
    <s v="If more financial data was involved. i.e. margins, revenue, profitability, number of events"/>
    <x v="0"/>
    <s v="gemini-2.5-flash"/>
    <x v="0"/>
  </r>
  <r>
    <s v="MBA530-1-F25"/>
    <s v="Peter Magleby"/>
    <x v="4"/>
    <x v="3"/>
    <n v="0"/>
    <n v="4"/>
    <s v="Thought provoking questions that made me get into the case details and think through solutions."/>
    <s v="Perhaps getting to the core questions quicker. I was excited to address the key issues, but didn't get to it."/>
    <x v="0"/>
    <s v="gemini-2.5-flash"/>
    <x v="0"/>
  </r>
  <r>
    <s v="none"/>
    <s v="Professor Sampson"/>
    <x v="10"/>
    <x v="0"/>
    <n v="0"/>
    <n v="3"/>
    <s v="it was in English"/>
    <s v="give me extra credit"/>
    <x v="1"/>
    <s v="gemini-2.5-flash"/>
    <x v="0"/>
  </r>
  <r>
    <s v="MBA530-1-F25"/>
    <s v="Derek Hatch"/>
    <x v="0"/>
    <x v="0"/>
    <n v="0"/>
    <n v="5"/>
    <s v="it was fun and challenging to work through the problems and nice to have the case to reference"/>
    <s v="nothing"/>
    <x v="0"/>
    <s v="gemini-2.5-flash"/>
    <x v="0"/>
  </r>
  <r>
    <s v="GSCM401-3-F25"/>
    <s v="Fernanda Romero"/>
    <x v="4"/>
    <x v="0"/>
    <n v="1"/>
    <s v="NULL"/>
    <s v="NULL"/>
    <s v="NULL"/>
    <x v="0"/>
    <s v="gemini-2.5-flash-lite"/>
    <x v="1"/>
  </r>
  <r>
    <s v="MBA530-1-F25"/>
    <s v="Jake Healey"/>
    <x v="0"/>
    <x v="0"/>
    <n v="0"/>
    <n v="4"/>
    <s v="the challenge"/>
    <s v="I liked this model, however, I would by no means consider it sycophantic&quot;&quot;"/>
    <x v="0"/>
    <s v="gemini-2.5-flash"/>
    <x v="0"/>
  </r>
  <r>
    <s v="GSCM401-3-F25"/>
    <s v="Jarom Paulsen"/>
    <x v="2"/>
    <x v="3"/>
    <n v="0"/>
    <n v="5"/>
    <s v="it was helpful doing this case taking to what felt like the actual CEO"/>
    <s v="not sure"/>
    <x v="0"/>
    <s v="gemini-2.5-flash-lite"/>
    <x v="0"/>
  </r>
  <r>
    <s v="GSCM401-3-F25"/>
    <s v="Avery Lytle"/>
    <x v="2"/>
    <x v="1"/>
    <n v="0"/>
    <n v="3"/>
    <s v="Ken had good questions"/>
    <s v="Make Ken use less complicated language. Have it feel more personal"/>
    <x v="0"/>
    <s v="gemini-2.5-flash-lite"/>
    <x v="0"/>
  </r>
  <r>
    <s v="GSCM401-3-F25"/>
    <s v="Levi Bohne"/>
    <x v="2"/>
    <x v="2"/>
    <n v="0"/>
    <n v="5"/>
    <s v="I am not sure"/>
    <s v="Too strict."/>
    <x v="0"/>
    <s v="gemini-2.5-flash-lite"/>
    <x v="0"/>
  </r>
  <r>
    <s v="GSCM401-2-F25"/>
    <s v="Isaac Rollins"/>
    <x v="11"/>
    <x v="4"/>
    <n v="1"/>
    <n v="3"/>
    <s v="the hard questions that were asked"/>
    <s v="more help when i asked questions"/>
    <x v="1"/>
    <s v="gemini-2.5-pro"/>
    <x v="1"/>
  </r>
  <r>
    <s v="MBA530-2-F25"/>
    <s v="Ben Jenks"/>
    <x v="6"/>
    <x v="1"/>
    <n v="0"/>
    <n v="4"/>
    <s v="Your feedback and questions were deeper than surface level and did make me think more deeply about the case."/>
    <s v="I would have liked more time to dig into the conversation."/>
    <x v="1"/>
    <s v="gemini-2.5-flash"/>
    <x v="0"/>
  </r>
  <r>
    <s v="GSCM401-3-F25"/>
    <s v="Jackson Weaver"/>
    <x v="6"/>
    <x v="3"/>
    <n v="0"/>
    <n v="4"/>
    <s v="good"/>
    <s v="good"/>
    <x v="0"/>
    <s v="gemini-2.5-flash-lite"/>
    <x v="0"/>
  </r>
  <r>
    <s v="GSCM401-1-F25"/>
    <s v="Samuel Cope"/>
    <x v="2"/>
    <x v="1"/>
    <n v="1"/>
    <n v="4"/>
    <s v="It was great to get a better understanding about the case"/>
    <s v="I cannot"/>
    <x v="2"/>
    <s v="gemini-2.5-flash"/>
    <x v="1"/>
  </r>
  <r>
    <s v="MBA530-1-F25"/>
    <s v="Jorge Beltran"/>
    <x v="12"/>
    <x v="4"/>
    <n v="1"/>
    <n v="5"/>
    <s v="it pushed me to pull the numbers"/>
    <s v="its great as it is"/>
    <x v="0"/>
    <s v="gemini-2.5-flash"/>
    <x v="1"/>
  </r>
  <r>
    <s v="GSCM401-3-F25"/>
    <s v="Owen Davis"/>
    <x v="3"/>
    <x v="0"/>
    <n v="0"/>
    <n v="5"/>
    <s v="I liked that the bot understood what I was talking about so I had someone who understood the case to bounce ideas off of"/>
    <s v="I think using a more balanced personality could be useful"/>
    <x v="0"/>
    <s v="gemini-2.5-flash-lite"/>
    <x v="0"/>
  </r>
  <r>
    <s v="MBA530-1-F25"/>
    <s v="Shangjun Yang"/>
    <x v="0"/>
    <x v="0"/>
    <n v="0"/>
    <n v="4"/>
    <s v="The prompt you give me allows my thought process to flow very well"/>
    <s v="Go straight to the point might be better"/>
    <x v="0"/>
    <s v="gemini-2.5-flash"/>
    <x v="0"/>
  </r>
  <r>
    <s v="GSCM401-3-F25"/>
    <s v="Peter Neville"/>
    <x v="8"/>
    <x v="4"/>
    <n v="2"/>
    <n v="5"/>
    <s v="your good personality"/>
    <s v="no room for improvement"/>
    <x v="0"/>
    <s v="gemini-2.5-flash-lite"/>
    <x v="1"/>
  </r>
  <r>
    <s v="MBA530-2-F25"/>
    <s v="Chase Clement"/>
    <x v="11"/>
    <x v="3"/>
    <n v="0"/>
    <s v="NULL"/>
    <s v="NULL"/>
    <s v="NULL"/>
    <x v="1"/>
    <s v="gemini-2.5-flash"/>
    <x v="0"/>
  </r>
  <r>
    <s v="MBA530-2-F25"/>
    <s v="Katelyn Mayberry"/>
    <x v="0"/>
    <x v="0"/>
    <n v="1"/>
    <n v="3"/>
    <s v="each question built on the last question"/>
    <s v="some of the questions had multiple parts to answer, it would have been easier if it was just one question at a time"/>
    <x v="1"/>
    <s v="gemini-2.5-flash"/>
    <x v="1"/>
  </r>
  <r>
    <s v="MBA530-1-F25"/>
    <s v="Sylvan Scott"/>
    <x v="0"/>
    <x v="3"/>
    <n v="0"/>
    <n v="4"/>
    <s v="I appreciated that it felt like a real conversation, it steered me towards the problems that were the most troubling for the owner. It seemed to have his priorities."/>
    <s v="The personality felt a little over-validating and excited when I got to the correct&quot; answers. But I suppose that's more a quirk of the model.&quot;"/>
    <x v="0"/>
    <s v="gemini-2.5-flash"/>
    <x v="0"/>
  </r>
  <r>
    <s v="MBA530-1-F25"/>
    <s v="Diego Paez"/>
    <x v="5"/>
    <x v="1"/>
    <n v="1"/>
    <n v="5"/>
    <s v="it seemed as a person chating with you,"/>
    <s v="I dont know"/>
    <x v="0"/>
    <s v="gemini-2.5-flash"/>
    <x v="1"/>
  </r>
  <r>
    <s v="GSCM401-1-F25"/>
    <s v="Luke Sutton"/>
    <x v="11"/>
    <x v="1"/>
    <n v="1"/>
    <s v="NULL"/>
    <s v="NULL"/>
    <s v="NULL"/>
    <x v="2"/>
    <s v="gemini-2.5-flash"/>
    <x v="1"/>
  </r>
  <r>
    <s v="GSCM401-2-F25"/>
    <s v="Zach Terry"/>
    <x v="7"/>
    <x v="4"/>
    <n v="1"/>
    <n v="4"/>
    <s v="It helped me realize what my main take-aways should be from the case"/>
    <s v="nothing"/>
    <x v="1"/>
    <s v="gemini-2.5-pro"/>
    <x v="1"/>
  </r>
  <r>
    <s v="GSCM401-3-F25"/>
    <s v="Ryan Soulier"/>
    <x v="3"/>
    <x v="2"/>
    <n v="0"/>
    <n v="4"/>
    <s v="I like the thought provoking questions that tie me back to the case"/>
    <s v="asking me for evidence from teh case"/>
    <x v="0"/>
    <s v="gemini-2.5-flash-lite"/>
    <x v="0"/>
  </r>
  <r>
    <s v="MBA530-2-F25"/>
    <s v="John Passey"/>
    <x v="8"/>
    <x v="2"/>
    <n v="0"/>
    <n v="3"/>
    <s v="I liked that it helped me push to pull things directly from the case"/>
    <s v="I felt like I focues a lot of my time of little details but I didn't really get to engage in more of the issues"/>
    <x v="1"/>
    <s v="gemini-2.5-flash"/>
    <x v="0"/>
  </r>
  <r>
    <s v="MBA530-2-F25"/>
    <s v="Jared McCartt"/>
    <x v="2"/>
    <x v="0"/>
    <n v="1"/>
    <n v="4"/>
    <s v="Making me think about the problems and solutions"/>
    <s v="Sycophant was too generous, but other than that it was good"/>
    <x v="1"/>
    <s v="gemini-2.5-flash"/>
    <x v="1"/>
  </r>
  <r>
    <s v="GSCM401-3-F25"/>
    <s v="Elsa Bottger"/>
    <x v="8"/>
    <x v="2"/>
    <n v="0"/>
    <n v="3"/>
    <s v="quick responses"/>
    <s v="he is too mean"/>
    <x v="0"/>
    <s v="gemini-2.5-flash-lite"/>
    <x v="0"/>
  </r>
  <r>
    <s v="MBA530-1-F25"/>
    <s v="Izzy Crosby"/>
    <x v="6"/>
    <x v="1"/>
    <n v="0"/>
    <n v="4"/>
    <s v="It was a really great workshopping tool to get more comfortable having conversations about operations and clarifying having a direct plan and opinion."/>
    <s v="Tool is great, no issues at this time."/>
    <x v="0"/>
    <s v="gemini-2.5-flash"/>
    <x v="0"/>
  </r>
  <r>
    <s v="MBA530-1-F25"/>
    <s v="Joseph Peterson"/>
    <x v="0"/>
    <x v="3"/>
    <n v="0"/>
    <n v="4"/>
    <s v="I liked that it helped me dig deep and think about questions about the case. It forced me to make decisions and make recomedations."/>
    <s v="NA"/>
    <x v="0"/>
    <s v="gemini-2.5-flash"/>
    <x v="0"/>
  </r>
  <r>
    <s v="MBA530-1-F25"/>
    <s v="Aaron Chang"/>
    <x v="1"/>
    <x v="1"/>
    <n v="1"/>
    <n v="3"/>
    <s v="he asked very interesting questions"/>
    <s v="i don't have any additional insights"/>
    <x v="0"/>
    <s v="gemini-2.5-flash"/>
    <x v="1"/>
  </r>
  <r>
    <s v="GSCM401-1-F25"/>
    <s v="Sunbin Seo"/>
    <x v="5"/>
    <x v="0"/>
    <n v="0"/>
    <n v="3"/>
    <s v="The questions it asked at the end of each conversation."/>
    <s v="There are lots of words"/>
    <x v="2"/>
    <s v="gemini-2.5-flash"/>
    <x v="0"/>
  </r>
  <r>
    <s v="GSCM401-3-F25"/>
    <s v="Corey Vannalath"/>
    <x v="9"/>
    <x v="3"/>
    <n v="0"/>
    <n v="4"/>
    <s v="asking follow up questions"/>
    <s v="maybe more empathy"/>
    <x v="0"/>
    <s v="gemini-2.5-flash-lite"/>
    <x v="0"/>
  </r>
  <r>
    <s v="MBA530-2-F25"/>
    <s v="Janae Ricks"/>
    <x v="6"/>
    <x v="4"/>
    <n v="0"/>
    <n v="5"/>
    <s v="It pushed back"/>
    <s v="It didn't feel like it actually listened to my solution."/>
    <x v="1"/>
    <s v="gemini-2.5-flash"/>
    <x v="0"/>
  </r>
  <r>
    <s v="GSCM401-2-F25"/>
    <s v="Elise Cook"/>
    <x v="1"/>
    <x v="3"/>
    <n v="1"/>
    <s v="NULL"/>
    <s v="no"/>
    <s v="no"/>
    <x v="1"/>
    <s v="gemini-2.5-pro"/>
    <x v="1"/>
  </r>
  <r>
    <s v="MBA530-1-F25"/>
    <s v="Kristi Shaffer"/>
    <x v="6"/>
    <x v="3"/>
    <n v="0"/>
    <n v="5"/>
    <s v="safe place to try out ideas and get feedback"/>
    <s v="it could be nice to have a way to search for keywords or sift through case details quickly"/>
    <x v="0"/>
    <s v="gemini-2.5-flash"/>
    <x v="0"/>
  </r>
  <r>
    <s v="GSCM401-1-F25"/>
    <s v="Trevor Zaleski"/>
    <x v="6"/>
    <x v="3"/>
    <n v="0"/>
    <n v="5"/>
    <s v="It was very real world"/>
    <s v="be harsher. make sure I am mitigating all risks"/>
    <x v="2"/>
    <s v="gemini-2.5-flash"/>
    <x v="0"/>
  </r>
  <r>
    <s v="MBA530-1-F25"/>
    <s v="John Essig"/>
    <x v="7"/>
    <x v="0"/>
    <n v="0"/>
    <n v="5"/>
    <s v="I liked most that it forced me to keep thinking more deeply about the question being asked. Farther than the surface level response."/>
    <s v="The conversation seemed to be leading me into a single answer whereas many times there is not 1 single answer."/>
    <x v="0"/>
    <s v="gemini-2.5-flash"/>
    <x v="0"/>
  </r>
  <r>
    <s v="GSCM401-2-F25"/>
    <s v="Mercer Garrison"/>
    <x v="9"/>
    <x v="4"/>
    <n v="0"/>
    <n v="4"/>
    <s v="the push to think deeper"/>
    <s v="not sure"/>
    <x v="1"/>
    <s v="gemini-2.5-pro"/>
    <x v="0"/>
  </r>
  <r>
    <s v="MBA530-2-F25"/>
    <s v="Taryn Haralson"/>
    <x v="6"/>
    <x v="2"/>
    <n v="0"/>
    <n v="5"/>
    <s v="It was valuable having a low stakes&quot; conversation backing my opinions and thoughts. It's helpful to have practice taking a stance and articulating why you think that.&quot;"/>
    <s v="I don't have any improvement feedback."/>
    <x v="1"/>
    <s v="gemini-2.5-flash"/>
    <x v="0"/>
  </r>
  <r>
    <s v="MBA530-1-F25"/>
    <s v="Monty Montgomery"/>
    <x v="6"/>
    <x v="4"/>
    <n v="0"/>
    <n v="5"/>
    <s v="I appreciated the simulation emphasizing what Ken saw as the most crucial concerns."/>
    <s v="I would suggest having some questions that were more pointed rather than being very open ended."/>
    <x v="0"/>
    <s v="gemini-2.5-flash"/>
    <x v="0"/>
  </r>
  <r>
    <s v="MBA530-2-F25"/>
    <s v="William Hodson"/>
    <x v="8"/>
    <x v="3"/>
    <n v="1"/>
    <n v="3"/>
    <s v="It asked specific questions that led me to think about aspects of the case that I hadn't necessarily drilled into, and challenged my assumptions effectively"/>
    <s v="When I asked for a hint, this personality gave me the exact numbers to use in responding rather than giving a hint about where to find the information"/>
    <x v="1"/>
    <s v="gemini-2.5-flash"/>
    <x v="1"/>
  </r>
  <r>
    <s v="MBA530-2-F25"/>
    <s v="Joseph Celaya"/>
    <x v="4"/>
    <x v="2"/>
    <n v="0"/>
    <n v="5"/>
    <s v="the LLM was quick to respond and kept the conversation going by prompting further action. very effective AI (some models are harder to converse with)"/>
    <s v="give more time to interact with the LLM. I didn't answer the first question fully because I wanted to engage in a conversation and I knew that I only had about 5 mins"/>
    <x v="1"/>
    <s v="gemini-2.5-flash"/>
    <x v="0"/>
  </r>
  <r>
    <s v="MBA530-1-F25"/>
    <s v="Gianella Grandy"/>
    <x v="6"/>
    <x v="3"/>
    <n v="0"/>
    <s v="NULL"/>
    <s v="NULL"/>
    <s v="NULL"/>
    <x v="0"/>
    <s v="gemini-2.5-flash"/>
    <x v="0"/>
  </r>
  <r>
    <s v="MBA530-1-F25"/>
    <s v="Corbin Sterling"/>
    <x v="8"/>
    <x v="0"/>
    <n v="0"/>
    <n v="4"/>
    <s v="While sycophantic was a silly option, I enjoyed the conversation element and interaction with someone.  That interaction would help the application of suggestions and help us think critically in a realistic consulting situation,"/>
    <s v="I dont know if sychophantic is realistic overall and would have enjoyed using a different personality."/>
    <x v="0"/>
    <s v="gemini-2.5-flash"/>
    <x v="0"/>
  </r>
  <r>
    <s v="GSCM401-1-F25"/>
    <s v="Chloe Kirschman"/>
    <x v="5"/>
    <x v="1"/>
    <n v="1"/>
    <n v="4"/>
    <s v="how it was interactive"/>
    <s v="it felt like some details I would include wouldn't be the answer the chat wanted"/>
    <x v="2"/>
    <s v="gemini-2.5-flash"/>
    <x v="1"/>
  </r>
  <r>
    <s v="GSCM401-2-F25"/>
    <s v="Gabe Esplin"/>
    <x v="7"/>
    <x v="3"/>
    <n v="1"/>
    <s v="NULL"/>
    <s v="ok"/>
    <s v="ok"/>
    <x v="1"/>
    <s v="gemini-2.5-pro"/>
    <x v="1"/>
  </r>
  <r>
    <s v="GSCM401-1-F25"/>
    <s v="Adam Jenson"/>
    <x v="6"/>
    <x v="1"/>
    <n v="0"/>
    <n v="4"/>
    <s v="I enjoyed how much I had to think"/>
    <s v="go longer"/>
    <x v="2"/>
    <s v="gemini-2.5-flash"/>
    <x v="0"/>
  </r>
  <r>
    <s v="GSCM401-2-F25"/>
    <s v="Donovan Blackham"/>
    <x v="10"/>
    <x v="4"/>
    <n v="0"/>
    <n v="5"/>
    <s v="How it ushed to me to think"/>
    <s v="nothing"/>
    <x v="1"/>
    <s v="gemini-2.5-pro"/>
    <x v="0"/>
  </r>
  <r>
    <s v="GSCM401-1-F25"/>
    <s v="Emmalyn Kartchner"/>
    <x v="4"/>
    <x v="2"/>
    <n v="0"/>
    <n v="5"/>
    <s v="it made me think"/>
    <s v="it was great"/>
    <x v="2"/>
    <s v="gemini-2.5-flash"/>
    <x v="0"/>
  </r>
  <r>
    <s v="GSCM401-1-F25"/>
    <s v="Rachel Zundel"/>
    <x v="6"/>
    <x v="4"/>
    <n v="0"/>
    <n v="4"/>
    <s v="I liked that the questions actually made me think about the case and possible solutions"/>
    <s v="I think it was fin"/>
    <x v="2"/>
    <s v="gemini-2.5-flash"/>
    <x v="0"/>
  </r>
  <r>
    <s v="GSCM401-1-F25"/>
    <s v="Morganne McCleary"/>
    <x v="6"/>
    <x v="1"/>
    <n v="1"/>
    <n v="4"/>
    <s v="personalized responses"/>
    <s v="hint wasn't helpful"/>
    <x v="2"/>
    <s v="gemini-2.5-flash"/>
    <x v="1"/>
  </r>
  <r>
    <s v="MBA530-1-F25"/>
    <s v="Jace Padilla"/>
    <x v="6"/>
    <x v="1"/>
    <n v="0"/>
    <n v="4"/>
    <s v="I liked how it responded to my ideas directly, while also looking for additional info."/>
    <s v="I can't think of any specific improvements. I just wish I had been faster with my answers since I may have overthought some of the questions"/>
    <x v="0"/>
    <s v="gemini-2.5-flash"/>
    <x v="0"/>
  </r>
  <r>
    <s v="GSCM401-1-F25"/>
    <s v="Morgan Haight"/>
    <x v="3"/>
    <x v="4"/>
    <n v="1"/>
    <n v="3"/>
    <s v="good"/>
    <s v="bad"/>
    <x v="2"/>
    <s v="gemini-2.5-flash"/>
    <x v="1"/>
  </r>
  <r>
    <s v="GSCM401-3-F25"/>
    <s v="Logan Moore"/>
    <x v="2"/>
    <x v="3"/>
    <n v="0"/>
    <n v="4"/>
    <s v="it was custom to me"/>
    <s v="it was too easy"/>
    <x v="0"/>
    <s v="gemini-2.5-flash-lit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BFD484-31E1-4193-BBC6-60616D7CD6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8" firstHeaderRow="1" firstDataRow="2" firstDataCol="1"/>
  <pivotFields count="10">
    <pivotField showAll="0"/>
    <pivotField dataField="1" showAll="0"/>
    <pivotField axis="axisRow" showAll="0">
      <items count="14">
        <item x="10"/>
        <item x="9"/>
        <item x="12"/>
        <item x="11"/>
        <item x="1"/>
        <item x="5"/>
        <item x="7"/>
        <item x="3"/>
        <item x="8"/>
        <item x="2"/>
        <item x="4"/>
        <item x="6"/>
        <item x="0"/>
        <item t="default"/>
      </items>
    </pivotField>
    <pivotField axis="axisCol" showAll="0">
      <items count="6">
        <item x="3"/>
        <item x="4"/>
        <item x="1"/>
        <item x="2"/>
        <item x="0"/>
        <item t="default"/>
      </items>
    </pivotField>
    <pivotField showAll="0"/>
    <pivotField showAll="0"/>
    <pivotField showAll="0"/>
    <pivotField showAll="0"/>
    <pivotField showAll="0"/>
    <pivotField showAll="0"/>
  </pivotFields>
  <rowFields count="1">
    <field x="2"/>
  </rowFields>
  <rowItems count="14">
    <i>
      <x/>
    </i>
    <i>
      <x v="1"/>
    </i>
    <i>
      <x v="2"/>
    </i>
    <i>
      <x v="3"/>
    </i>
    <i>
      <x v="4"/>
    </i>
    <i>
      <x v="5"/>
    </i>
    <i>
      <x v="6"/>
    </i>
    <i>
      <x v="7"/>
    </i>
    <i>
      <x v="8"/>
    </i>
    <i>
      <x v="9"/>
    </i>
    <i>
      <x v="10"/>
    </i>
    <i>
      <x v="11"/>
    </i>
    <i>
      <x v="12"/>
    </i>
    <i t="grand">
      <x/>
    </i>
  </rowItems>
  <colFields count="1">
    <field x="3"/>
  </colFields>
  <colItems count="6">
    <i>
      <x/>
    </i>
    <i>
      <x v="1"/>
    </i>
    <i>
      <x v="2"/>
    </i>
    <i>
      <x v="3"/>
    </i>
    <i>
      <x v="4"/>
    </i>
    <i t="grand">
      <x/>
    </i>
  </colItems>
  <dataFields count="1">
    <dataField name="Count of full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82EDD-E3F0-415B-9992-405919F3529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8" firstHeaderRow="0" firstDataRow="1" firstDataCol="1" rowPageCount="3" colPageCount="1"/>
  <pivotFields count="11">
    <pivotField showAll="0"/>
    <pivotField dataField="1" showAll="0"/>
    <pivotField axis="axisPage" dataField="1" multipleItemSelectionAllowed="1" showAll="0">
      <items count="14">
        <item x="10"/>
        <item x="9"/>
        <item x="12"/>
        <item x="11"/>
        <item x="1"/>
        <item x="5"/>
        <item x="7"/>
        <item x="3"/>
        <item x="8"/>
        <item x="2"/>
        <item x="4"/>
        <item x="6"/>
        <item x="0"/>
        <item t="default"/>
      </items>
    </pivotField>
    <pivotField axis="axisPage" showAll="0">
      <items count="6">
        <item x="3"/>
        <item x="4"/>
        <item x="1"/>
        <item x="2"/>
        <item x="0"/>
        <item t="default"/>
      </items>
    </pivotField>
    <pivotField dataField="1" showAll="0"/>
    <pivotField dataField="1" showAll="0"/>
    <pivotField showAll="0"/>
    <pivotField showAll="0"/>
    <pivotField axis="axisPage" showAll="0">
      <items count="4">
        <item x="1"/>
        <item x="2"/>
        <item x="0"/>
        <item t="default"/>
      </items>
    </pivotField>
    <pivotField showAll="0"/>
    <pivotField axis="axisRow" showAll="0">
      <items count="3">
        <item x="0"/>
        <item x="1"/>
        <item t="default"/>
      </items>
    </pivotField>
  </pivotFields>
  <rowFields count="1">
    <field x="10"/>
  </rowFields>
  <rowItems count="3">
    <i>
      <x/>
    </i>
    <i>
      <x v="1"/>
    </i>
    <i t="grand">
      <x/>
    </i>
  </rowItems>
  <colFields count="1">
    <field x="-2"/>
  </colFields>
  <colItems count="4">
    <i>
      <x/>
    </i>
    <i i="1">
      <x v="1"/>
    </i>
    <i i="2">
      <x v="2"/>
    </i>
    <i i="3">
      <x v="3"/>
    </i>
  </colItems>
  <pageFields count="3">
    <pageField fld="2" hier="-1"/>
    <pageField fld="3" hier="-1"/>
    <pageField fld="8" hier="-1"/>
  </pageFields>
  <dataFields count="4">
    <dataField name="Average of score" fld="2" subtotal="average" baseField="3" baseItem="0"/>
    <dataField name="Average of helpful" fld="5" subtotal="average" baseField="3" baseItem="0"/>
    <dataField name="Count of full_name" fld="1" subtotal="count" baseField="0" baseItem="0"/>
    <dataField name="Sum of hints" fld="4" baseField="0" baseItem="0"/>
  </dataFields>
  <formats count="2">
    <format dxfId="20">
      <pivotArea collapsedLevelsAreSubtotals="1" fieldPosition="0">
        <references count="1">
          <reference field="3" count="0"/>
        </references>
      </pivotArea>
    </format>
    <format dxfId="2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C710-FD1E-4C9C-B142-37D45C1E3734}">
  <dimension ref="A3:G18"/>
  <sheetViews>
    <sheetView workbookViewId="0">
      <selection activeCell="A3" sqref="A3"/>
    </sheetView>
  </sheetViews>
  <sheetFormatPr defaultRowHeight="15" x14ac:dyDescent="0.25"/>
  <cols>
    <col min="1" max="1" width="18.42578125" bestFit="1" customWidth="1"/>
    <col min="2" max="2" width="16.85546875" bestFit="1" customWidth="1"/>
    <col min="3" max="3" width="6.7109375" bestFit="1" customWidth="1"/>
    <col min="4" max="4" width="9.7109375" bestFit="1" customWidth="1"/>
    <col min="5" max="5" width="5.7109375" bestFit="1" customWidth="1"/>
    <col min="6" max="6" width="11.85546875" bestFit="1" customWidth="1"/>
    <col min="7" max="7" width="11.28515625" bestFit="1" customWidth="1"/>
    <col min="8" max="13" width="16.85546875" bestFit="1" customWidth="1"/>
    <col min="14" max="14" width="11.28515625" bestFit="1" customWidth="1"/>
  </cols>
  <sheetData>
    <row r="3" spans="1:7" x14ac:dyDescent="0.25">
      <c r="A3" s="1" t="s">
        <v>543</v>
      </c>
      <c r="B3" s="1" t="s">
        <v>540</v>
      </c>
    </row>
    <row r="4" spans="1:7" x14ac:dyDescent="0.25">
      <c r="A4" s="1" t="s">
        <v>542</v>
      </c>
      <c r="B4" t="s">
        <v>53</v>
      </c>
      <c r="C4" t="s">
        <v>70</v>
      </c>
      <c r="D4" t="s">
        <v>19</v>
      </c>
      <c r="E4" t="s">
        <v>24</v>
      </c>
      <c r="F4" t="s">
        <v>12</v>
      </c>
      <c r="G4" t="s">
        <v>541</v>
      </c>
    </row>
    <row r="5" spans="1:7" x14ac:dyDescent="0.25">
      <c r="A5" s="2">
        <v>3</v>
      </c>
      <c r="C5">
        <v>2</v>
      </c>
      <c r="F5">
        <v>3</v>
      </c>
      <c r="G5">
        <v>5</v>
      </c>
    </row>
    <row r="6" spans="1:7" x14ac:dyDescent="0.25">
      <c r="A6" s="2">
        <v>4</v>
      </c>
      <c r="B6">
        <v>1</v>
      </c>
      <c r="C6">
        <v>1</v>
      </c>
      <c r="D6">
        <v>1</v>
      </c>
      <c r="E6">
        <v>1</v>
      </c>
      <c r="F6">
        <v>1</v>
      </c>
      <c r="G6">
        <v>5</v>
      </c>
    </row>
    <row r="7" spans="1:7" x14ac:dyDescent="0.25">
      <c r="A7" s="2">
        <v>5</v>
      </c>
      <c r="C7">
        <v>1</v>
      </c>
      <c r="E7">
        <v>1</v>
      </c>
      <c r="G7">
        <v>2</v>
      </c>
    </row>
    <row r="8" spans="1:7" x14ac:dyDescent="0.25">
      <c r="A8" s="2">
        <v>6</v>
      </c>
      <c r="B8">
        <v>2</v>
      </c>
      <c r="C8">
        <v>1</v>
      </c>
      <c r="D8">
        <v>2</v>
      </c>
      <c r="G8">
        <v>5</v>
      </c>
    </row>
    <row r="9" spans="1:7" x14ac:dyDescent="0.25">
      <c r="A9" s="2">
        <v>7</v>
      </c>
      <c r="B9">
        <v>2</v>
      </c>
      <c r="D9">
        <v>3</v>
      </c>
      <c r="G9">
        <v>5</v>
      </c>
    </row>
    <row r="10" spans="1:7" x14ac:dyDescent="0.25">
      <c r="A10" s="2">
        <v>8</v>
      </c>
      <c r="B10">
        <v>1</v>
      </c>
      <c r="C10">
        <v>1</v>
      </c>
      <c r="D10">
        <v>5</v>
      </c>
      <c r="F10">
        <v>4</v>
      </c>
      <c r="G10">
        <v>11</v>
      </c>
    </row>
    <row r="11" spans="1:7" x14ac:dyDescent="0.25">
      <c r="A11" s="2">
        <v>9</v>
      </c>
      <c r="B11">
        <v>2</v>
      </c>
      <c r="C11">
        <v>1</v>
      </c>
      <c r="D11">
        <v>2</v>
      </c>
      <c r="F11">
        <v>1</v>
      </c>
      <c r="G11">
        <v>6</v>
      </c>
    </row>
    <row r="12" spans="1:7" x14ac:dyDescent="0.25">
      <c r="A12" s="2">
        <v>10</v>
      </c>
      <c r="B12">
        <v>2</v>
      </c>
      <c r="C12">
        <v>1</v>
      </c>
      <c r="D12">
        <v>2</v>
      </c>
      <c r="E12">
        <v>1</v>
      </c>
      <c r="F12">
        <v>3</v>
      </c>
      <c r="G12">
        <v>9</v>
      </c>
    </row>
    <row r="13" spans="1:7" x14ac:dyDescent="0.25">
      <c r="A13" s="2">
        <v>11</v>
      </c>
      <c r="B13">
        <v>3</v>
      </c>
      <c r="C13">
        <v>6</v>
      </c>
      <c r="D13">
        <v>2</v>
      </c>
      <c r="E13">
        <v>5</v>
      </c>
      <c r="F13">
        <v>3</v>
      </c>
      <c r="G13">
        <v>19</v>
      </c>
    </row>
    <row r="14" spans="1:7" x14ac:dyDescent="0.25">
      <c r="A14" s="2">
        <v>12</v>
      </c>
      <c r="B14">
        <v>8</v>
      </c>
      <c r="C14">
        <v>1</v>
      </c>
      <c r="D14">
        <v>9</v>
      </c>
      <c r="E14">
        <v>8</v>
      </c>
      <c r="F14">
        <v>3</v>
      </c>
      <c r="G14">
        <v>29</v>
      </c>
    </row>
    <row r="15" spans="1:7" x14ac:dyDescent="0.25">
      <c r="A15" s="2">
        <v>13</v>
      </c>
      <c r="B15">
        <v>8</v>
      </c>
      <c r="C15">
        <v>3</v>
      </c>
      <c r="D15">
        <v>2</v>
      </c>
      <c r="E15">
        <v>6</v>
      </c>
      <c r="F15">
        <v>6</v>
      </c>
      <c r="G15">
        <v>25</v>
      </c>
    </row>
    <row r="16" spans="1:7" x14ac:dyDescent="0.25">
      <c r="A16" s="2">
        <v>14</v>
      </c>
      <c r="B16">
        <v>9</v>
      </c>
      <c r="C16">
        <v>9</v>
      </c>
      <c r="D16">
        <v>9</v>
      </c>
      <c r="E16">
        <v>6</v>
      </c>
      <c r="F16">
        <v>4</v>
      </c>
      <c r="G16">
        <v>37</v>
      </c>
    </row>
    <row r="17" spans="1:7" x14ac:dyDescent="0.25">
      <c r="A17" s="2">
        <v>15</v>
      </c>
      <c r="B17">
        <v>7</v>
      </c>
      <c r="C17">
        <v>2</v>
      </c>
      <c r="D17">
        <v>2</v>
      </c>
      <c r="E17">
        <v>3</v>
      </c>
      <c r="F17">
        <v>13</v>
      </c>
      <c r="G17">
        <v>27</v>
      </c>
    </row>
    <row r="18" spans="1:7" x14ac:dyDescent="0.25">
      <c r="A18" s="2" t="s">
        <v>541</v>
      </c>
      <c r="B18">
        <v>45</v>
      </c>
      <c r="C18">
        <v>29</v>
      </c>
      <c r="D18">
        <v>39</v>
      </c>
      <c r="E18">
        <v>31</v>
      </c>
      <c r="F18">
        <v>41</v>
      </c>
      <c r="G18">
        <v>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BFA7-7132-474B-A60C-7AB7C4D620D4}">
  <dimension ref="A1:I9"/>
  <sheetViews>
    <sheetView tabSelected="1" workbookViewId="0">
      <selection activeCell="G7" sqref="G7"/>
    </sheetView>
  </sheetViews>
  <sheetFormatPr defaultRowHeight="15" x14ac:dyDescent="0.25"/>
  <cols>
    <col min="1" max="1" width="13.42578125" bestFit="1" customWidth="1"/>
    <col min="2" max="2" width="16" bestFit="1" customWidth="1"/>
    <col min="3" max="3" width="17.5703125" bestFit="1" customWidth="1"/>
    <col min="4" max="4" width="18.42578125" bestFit="1" customWidth="1"/>
    <col min="5" max="5" width="12.28515625" bestFit="1" customWidth="1"/>
    <col min="6" max="6" width="18.42578125" bestFit="1" customWidth="1"/>
    <col min="7" max="7" width="17.5703125" bestFit="1" customWidth="1"/>
    <col min="8" max="8" width="16" bestFit="1" customWidth="1"/>
    <col min="9" max="9" width="18.42578125" bestFit="1" customWidth="1"/>
    <col min="10" max="10" width="17.5703125" bestFit="1" customWidth="1"/>
    <col min="11" max="11" width="21" bestFit="1" customWidth="1"/>
    <col min="12" max="12" width="23.42578125" bestFit="1" customWidth="1"/>
    <col min="13" max="13" width="22.5703125" bestFit="1" customWidth="1"/>
  </cols>
  <sheetData>
    <row r="1" spans="1:9" x14ac:dyDescent="0.25">
      <c r="A1" s="1" t="s">
        <v>2</v>
      </c>
      <c r="B1" t="s">
        <v>550</v>
      </c>
    </row>
    <row r="2" spans="1:9" x14ac:dyDescent="0.25">
      <c r="A2" s="1" t="s">
        <v>3</v>
      </c>
      <c r="B2" t="s">
        <v>550</v>
      </c>
    </row>
    <row r="3" spans="1:9" x14ac:dyDescent="0.25">
      <c r="A3" s="1" t="s">
        <v>8</v>
      </c>
      <c r="B3" t="s">
        <v>550</v>
      </c>
    </row>
    <row r="5" spans="1:9" x14ac:dyDescent="0.25">
      <c r="A5" s="1" t="s">
        <v>542</v>
      </c>
      <c r="B5" t="s">
        <v>544</v>
      </c>
      <c r="C5" t="s">
        <v>549</v>
      </c>
      <c r="D5" t="s">
        <v>543</v>
      </c>
      <c r="E5" t="s">
        <v>551</v>
      </c>
    </row>
    <row r="6" spans="1:9" x14ac:dyDescent="0.25">
      <c r="A6" s="2">
        <v>0</v>
      </c>
      <c r="B6" s="4">
        <v>12.006711409395972</v>
      </c>
      <c r="C6" s="4">
        <v>4.2290703571428567</v>
      </c>
      <c r="D6" s="4">
        <v>149</v>
      </c>
      <c r="E6" s="4">
        <v>0</v>
      </c>
      <c r="G6">
        <v>62</v>
      </c>
      <c r="H6">
        <v>19</v>
      </c>
      <c r="I6">
        <f>H6/G6</f>
        <v>0.30645161290322581</v>
      </c>
    </row>
    <row r="7" spans="1:9" x14ac:dyDescent="0.25">
      <c r="A7" s="2">
        <v>1</v>
      </c>
      <c r="B7" s="4">
        <v>9.9444444444444446</v>
      </c>
      <c r="C7" s="4">
        <v>4.161290322580645</v>
      </c>
      <c r="D7" s="4">
        <v>36</v>
      </c>
      <c r="E7" s="4">
        <v>39</v>
      </c>
      <c r="G7">
        <f>36/185</f>
        <v>0.19459459459459461</v>
      </c>
      <c r="H7">
        <v>9</v>
      </c>
      <c r="I7">
        <f>H7/G7</f>
        <v>46.25</v>
      </c>
    </row>
    <row r="8" spans="1:9" x14ac:dyDescent="0.25">
      <c r="A8" s="2" t="s">
        <v>541</v>
      </c>
      <c r="B8" s="3">
        <v>11.605405405405405</v>
      </c>
      <c r="C8" s="3">
        <v>4.2167827485380114</v>
      </c>
      <c r="D8" s="3">
        <v>185</v>
      </c>
      <c r="E8" s="3">
        <v>39</v>
      </c>
      <c r="G8">
        <v>86</v>
      </c>
      <c r="H8">
        <v>11</v>
      </c>
      <c r="I8">
        <f>H8/G8</f>
        <v>0.12790697674418605</v>
      </c>
    </row>
    <row r="9" spans="1:9" x14ac:dyDescent="0.25">
      <c r="G9">
        <f>SUM(G6:G8)</f>
        <v>148.19459459459461</v>
      </c>
      <c r="H9">
        <f>SUM(H6:H8)</f>
        <v>39</v>
      </c>
      <c r="I9">
        <f>H9/G9</f>
        <v>0.26316749343449081</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B6B61-ECA0-4705-B0BE-C7C64A011FB8}">
  <dimension ref="A1:K186"/>
  <sheetViews>
    <sheetView workbookViewId="0">
      <selection activeCell="K1" sqref="K1"/>
    </sheetView>
  </sheetViews>
  <sheetFormatPr defaultRowHeight="15" x14ac:dyDescent="0.25"/>
  <sheetData>
    <row r="1" spans="1:11" x14ac:dyDescent="0.25">
      <c r="A1" t="s">
        <v>0</v>
      </c>
      <c r="B1" t="s">
        <v>1</v>
      </c>
      <c r="C1" t="s">
        <v>2</v>
      </c>
      <c r="D1" t="s">
        <v>3</v>
      </c>
      <c r="E1" t="s">
        <v>4</v>
      </c>
      <c r="F1" t="s">
        <v>5</v>
      </c>
      <c r="G1" t="s">
        <v>6</v>
      </c>
      <c r="H1" t="s">
        <v>7</v>
      </c>
      <c r="I1" t="s">
        <v>8</v>
      </c>
      <c r="J1" t="s">
        <v>9</v>
      </c>
      <c r="K1" s="5" t="s">
        <v>552</v>
      </c>
    </row>
    <row r="2" spans="1:11" x14ac:dyDescent="0.25">
      <c r="A2" t="s">
        <v>10</v>
      </c>
      <c r="B2" t="s">
        <v>11</v>
      </c>
      <c r="C2">
        <v>15</v>
      </c>
      <c r="D2" t="s">
        <v>12</v>
      </c>
      <c r="E2">
        <v>0</v>
      </c>
      <c r="F2">
        <v>2</v>
      </c>
      <c r="G2" t="s">
        <v>13</v>
      </c>
      <c r="H2" t="s">
        <v>14</v>
      </c>
      <c r="I2" t="s">
        <v>15</v>
      </c>
      <c r="J2" t="s">
        <v>16</v>
      </c>
      <c r="K2">
        <f>IF(E2&gt;0,1,0)</f>
        <v>0</v>
      </c>
    </row>
    <row r="3" spans="1:11" x14ac:dyDescent="0.25">
      <c r="A3" t="s">
        <v>17</v>
      </c>
      <c r="B3" t="s">
        <v>18</v>
      </c>
      <c r="C3">
        <v>7</v>
      </c>
      <c r="D3" t="s">
        <v>19</v>
      </c>
      <c r="E3">
        <v>1</v>
      </c>
      <c r="F3">
        <v>5</v>
      </c>
      <c r="G3" t="s">
        <v>20</v>
      </c>
      <c r="H3" t="s">
        <v>21</v>
      </c>
      <c r="I3" t="s">
        <v>16</v>
      </c>
      <c r="J3" t="s">
        <v>15</v>
      </c>
      <c r="K3">
        <f t="shared" ref="K3:K66" si="0">IF(E3&gt;0,1,0)</f>
        <v>1</v>
      </c>
    </row>
    <row r="4" spans="1:11" x14ac:dyDescent="0.25">
      <c r="A4" t="s">
        <v>22</v>
      </c>
      <c r="B4" t="s">
        <v>23</v>
      </c>
      <c r="C4">
        <v>12</v>
      </c>
      <c r="D4" t="s">
        <v>24</v>
      </c>
      <c r="E4">
        <v>1</v>
      </c>
      <c r="F4">
        <v>3</v>
      </c>
      <c r="G4" t="s">
        <v>25</v>
      </c>
      <c r="H4" t="s">
        <v>26</v>
      </c>
      <c r="I4" t="s">
        <v>16</v>
      </c>
      <c r="J4" t="s">
        <v>16</v>
      </c>
      <c r="K4">
        <f t="shared" si="0"/>
        <v>1</v>
      </c>
    </row>
    <row r="5" spans="1:11" x14ac:dyDescent="0.25">
      <c r="A5" t="s">
        <v>22</v>
      </c>
      <c r="B5" t="s">
        <v>27</v>
      </c>
      <c r="C5">
        <v>10</v>
      </c>
      <c r="D5" t="s">
        <v>19</v>
      </c>
      <c r="E5">
        <v>1</v>
      </c>
      <c r="F5">
        <v>4</v>
      </c>
      <c r="G5" t="s">
        <v>28</v>
      </c>
      <c r="H5" t="s">
        <v>29</v>
      </c>
      <c r="I5" t="s">
        <v>16</v>
      </c>
      <c r="J5" t="s">
        <v>16</v>
      </c>
      <c r="K5">
        <f t="shared" si="0"/>
        <v>1</v>
      </c>
    </row>
    <row r="6" spans="1:11" x14ac:dyDescent="0.25">
      <c r="A6" t="s">
        <v>10</v>
      </c>
      <c r="B6" t="s">
        <v>30</v>
      </c>
      <c r="C6">
        <v>13</v>
      </c>
      <c r="D6" t="s">
        <v>19</v>
      </c>
      <c r="E6">
        <v>0</v>
      </c>
      <c r="F6">
        <v>5</v>
      </c>
      <c r="G6" t="s">
        <v>31</v>
      </c>
      <c r="H6" t="s">
        <v>32</v>
      </c>
      <c r="I6" t="s">
        <v>15</v>
      </c>
      <c r="J6" t="s">
        <v>16</v>
      </c>
      <c r="K6">
        <f t="shared" si="0"/>
        <v>0</v>
      </c>
    </row>
    <row r="7" spans="1:11" x14ac:dyDescent="0.25">
      <c r="A7" t="s">
        <v>10</v>
      </c>
      <c r="B7" t="s">
        <v>33</v>
      </c>
      <c r="C7">
        <v>8</v>
      </c>
      <c r="D7" t="s">
        <v>19</v>
      </c>
      <c r="E7">
        <v>0</v>
      </c>
      <c r="F7">
        <v>2</v>
      </c>
      <c r="G7" t="s">
        <v>34</v>
      </c>
      <c r="H7" t="s">
        <v>35</v>
      </c>
      <c r="I7" t="s">
        <v>15</v>
      </c>
      <c r="J7" t="s">
        <v>16</v>
      </c>
      <c r="K7">
        <f t="shared" si="0"/>
        <v>0</v>
      </c>
    </row>
    <row r="8" spans="1:11" x14ac:dyDescent="0.25">
      <c r="A8" t="s">
        <v>22</v>
      </c>
      <c r="B8" t="s">
        <v>36</v>
      </c>
      <c r="C8">
        <v>14</v>
      </c>
      <c r="D8" t="s">
        <v>12</v>
      </c>
      <c r="E8">
        <v>0</v>
      </c>
      <c r="F8">
        <v>4</v>
      </c>
      <c r="G8" t="s">
        <v>37</v>
      </c>
      <c r="H8" t="s">
        <v>38</v>
      </c>
      <c r="I8" t="s">
        <v>16</v>
      </c>
      <c r="J8" t="s">
        <v>16</v>
      </c>
      <c r="K8">
        <f t="shared" si="0"/>
        <v>0</v>
      </c>
    </row>
    <row r="9" spans="1:11" x14ac:dyDescent="0.25">
      <c r="A9" t="s">
        <v>22</v>
      </c>
      <c r="B9" t="s">
        <v>39</v>
      </c>
      <c r="C9">
        <v>15</v>
      </c>
      <c r="D9" t="s">
        <v>12</v>
      </c>
      <c r="E9">
        <v>0</v>
      </c>
      <c r="F9">
        <v>3.5</v>
      </c>
      <c r="G9" t="s">
        <v>40</v>
      </c>
      <c r="H9" t="s">
        <v>41</v>
      </c>
      <c r="I9" t="s">
        <v>16</v>
      </c>
      <c r="J9" t="s">
        <v>16</v>
      </c>
      <c r="K9">
        <f t="shared" si="0"/>
        <v>0</v>
      </c>
    </row>
    <row r="10" spans="1:11" x14ac:dyDescent="0.25">
      <c r="A10" t="s">
        <v>22</v>
      </c>
      <c r="B10" t="s">
        <v>42</v>
      </c>
      <c r="C10">
        <v>9</v>
      </c>
      <c r="D10" t="s">
        <v>19</v>
      </c>
      <c r="E10">
        <v>1</v>
      </c>
      <c r="F10">
        <v>5</v>
      </c>
      <c r="G10" t="s">
        <v>43</v>
      </c>
      <c r="H10" t="s">
        <v>44</v>
      </c>
      <c r="I10" t="s">
        <v>16</v>
      </c>
      <c r="J10" t="s">
        <v>16</v>
      </c>
      <c r="K10">
        <f t="shared" si="0"/>
        <v>1</v>
      </c>
    </row>
    <row r="11" spans="1:11" x14ac:dyDescent="0.25">
      <c r="A11" t="s">
        <v>22</v>
      </c>
      <c r="B11" t="s">
        <v>45</v>
      </c>
      <c r="C11">
        <v>14</v>
      </c>
      <c r="D11" t="s">
        <v>24</v>
      </c>
      <c r="E11">
        <v>0</v>
      </c>
      <c r="F11">
        <v>5</v>
      </c>
      <c r="G11" t="s">
        <v>46</v>
      </c>
      <c r="H11" t="s">
        <v>548</v>
      </c>
      <c r="I11" t="s">
        <v>16</v>
      </c>
      <c r="J11" t="s">
        <v>16</v>
      </c>
      <c r="K11">
        <f t="shared" si="0"/>
        <v>0</v>
      </c>
    </row>
    <row r="12" spans="1:11" x14ac:dyDescent="0.25">
      <c r="A12" t="s">
        <v>47</v>
      </c>
      <c r="B12" t="s">
        <v>48</v>
      </c>
      <c r="C12">
        <v>13</v>
      </c>
      <c r="D12" t="s">
        <v>12</v>
      </c>
      <c r="E12">
        <v>0</v>
      </c>
      <c r="F12">
        <v>2</v>
      </c>
      <c r="G12" t="s">
        <v>49</v>
      </c>
      <c r="H12" t="s">
        <v>50</v>
      </c>
      <c r="I12" t="s">
        <v>15</v>
      </c>
      <c r="J12" t="s">
        <v>51</v>
      </c>
      <c r="K12">
        <f t="shared" si="0"/>
        <v>0</v>
      </c>
    </row>
    <row r="13" spans="1:11" x14ac:dyDescent="0.25">
      <c r="A13" t="s">
        <v>10</v>
      </c>
      <c r="B13" t="s">
        <v>52</v>
      </c>
      <c r="C13">
        <v>14</v>
      </c>
      <c r="D13" t="s">
        <v>53</v>
      </c>
      <c r="E13">
        <v>0</v>
      </c>
      <c r="F13">
        <v>3</v>
      </c>
      <c r="G13" t="s">
        <v>54</v>
      </c>
      <c r="H13" t="s">
        <v>55</v>
      </c>
      <c r="I13" t="s">
        <v>15</v>
      </c>
      <c r="J13" t="s">
        <v>16</v>
      </c>
      <c r="K13">
        <f t="shared" si="0"/>
        <v>0</v>
      </c>
    </row>
    <row r="14" spans="1:11" x14ac:dyDescent="0.25">
      <c r="A14" t="s">
        <v>56</v>
      </c>
      <c r="B14" t="s">
        <v>57</v>
      </c>
      <c r="C14">
        <v>13</v>
      </c>
      <c r="D14" t="s">
        <v>53</v>
      </c>
      <c r="E14">
        <v>0</v>
      </c>
      <c r="F14">
        <v>5</v>
      </c>
      <c r="G14" t="s">
        <v>58</v>
      </c>
      <c r="H14" t="s">
        <v>59</v>
      </c>
      <c r="I14" t="s">
        <v>51</v>
      </c>
      <c r="J14" t="s">
        <v>16</v>
      </c>
      <c r="K14">
        <f t="shared" si="0"/>
        <v>0</v>
      </c>
    </row>
    <row r="15" spans="1:11" x14ac:dyDescent="0.25">
      <c r="A15" t="s">
        <v>47</v>
      </c>
      <c r="B15" t="s">
        <v>60</v>
      </c>
      <c r="C15">
        <v>8</v>
      </c>
      <c r="D15" t="s">
        <v>12</v>
      </c>
      <c r="E15">
        <v>1</v>
      </c>
      <c r="F15">
        <v>4</v>
      </c>
      <c r="G15" t="s">
        <v>61</v>
      </c>
      <c r="H15" t="s">
        <v>62</v>
      </c>
      <c r="I15" t="s">
        <v>15</v>
      </c>
      <c r="J15" t="s">
        <v>51</v>
      </c>
      <c r="K15">
        <f t="shared" si="0"/>
        <v>1</v>
      </c>
    </row>
    <row r="16" spans="1:11" x14ac:dyDescent="0.25">
      <c r="A16" t="s">
        <v>56</v>
      </c>
      <c r="B16" t="s">
        <v>63</v>
      </c>
      <c r="C16">
        <v>14</v>
      </c>
      <c r="D16" t="s">
        <v>12</v>
      </c>
      <c r="E16">
        <v>0</v>
      </c>
      <c r="F16">
        <v>4</v>
      </c>
      <c r="G16" t="s">
        <v>64</v>
      </c>
      <c r="H16" t="s">
        <v>65</v>
      </c>
      <c r="I16" t="s">
        <v>51</v>
      </c>
      <c r="J16" t="s">
        <v>16</v>
      </c>
      <c r="K16">
        <f t="shared" si="0"/>
        <v>0</v>
      </c>
    </row>
    <row r="17" spans="1:11" x14ac:dyDescent="0.25">
      <c r="A17" t="s">
        <v>17</v>
      </c>
      <c r="B17" t="s">
        <v>66</v>
      </c>
      <c r="C17">
        <v>11</v>
      </c>
      <c r="D17" t="s">
        <v>24</v>
      </c>
      <c r="E17">
        <v>0</v>
      </c>
      <c r="F17" t="s">
        <v>67</v>
      </c>
      <c r="G17" t="s">
        <v>68</v>
      </c>
      <c r="H17" t="s">
        <v>68</v>
      </c>
      <c r="I17" t="s">
        <v>16</v>
      </c>
      <c r="J17" t="s">
        <v>15</v>
      </c>
      <c r="K17">
        <f t="shared" si="0"/>
        <v>0</v>
      </c>
    </row>
    <row r="18" spans="1:11" x14ac:dyDescent="0.25">
      <c r="A18" t="s">
        <v>56</v>
      </c>
      <c r="B18" t="s">
        <v>69</v>
      </c>
      <c r="C18">
        <v>11</v>
      </c>
      <c r="D18" t="s">
        <v>70</v>
      </c>
      <c r="E18">
        <v>0</v>
      </c>
      <c r="F18">
        <v>4</v>
      </c>
      <c r="G18" t="s">
        <v>71</v>
      </c>
      <c r="H18" t="s">
        <v>72</v>
      </c>
      <c r="I18" t="s">
        <v>51</v>
      </c>
      <c r="J18" t="s">
        <v>16</v>
      </c>
      <c r="K18">
        <f t="shared" si="0"/>
        <v>0</v>
      </c>
    </row>
    <row r="19" spans="1:11" x14ac:dyDescent="0.25">
      <c r="A19" t="s">
        <v>73</v>
      </c>
      <c r="B19" t="s">
        <v>74</v>
      </c>
      <c r="C19">
        <v>15</v>
      </c>
      <c r="D19" t="s">
        <v>12</v>
      </c>
      <c r="E19">
        <v>0</v>
      </c>
      <c r="F19" t="s">
        <v>67</v>
      </c>
      <c r="G19" t="s">
        <v>67</v>
      </c>
      <c r="H19" t="s">
        <v>67</v>
      </c>
      <c r="I19" t="s">
        <v>16</v>
      </c>
      <c r="J19" t="s">
        <v>16</v>
      </c>
      <c r="K19">
        <f t="shared" si="0"/>
        <v>0</v>
      </c>
    </row>
    <row r="20" spans="1:11" x14ac:dyDescent="0.25">
      <c r="A20" t="s">
        <v>10</v>
      </c>
      <c r="B20" t="s">
        <v>75</v>
      </c>
      <c r="C20">
        <v>15</v>
      </c>
      <c r="D20" t="s">
        <v>53</v>
      </c>
      <c r="E20">
        <v>0</v>
      </c>
      <c r="F20">
        <v>5</v>
      </c>
      <c r="G20" t="s">
        <v>76</v>
      </c>
      <c r="H20" t="s">
        <v>77</v>
      </c>
      <c r="I20" t="s">
        <v>15</v>
      </c>
      <c r="J20" t="s">
        <v>16</v>
      </c>
      <c r="K20">
        <f t="shared" si="0"/>
        <v>0</v>
      </c>
    </row>
    <row r="21" spans="1:11" x14ac:dyDescent="0.25">
      <c r="A21" t="s">
        <v>56</v>
      </c>
      <c r="B21" t="s">
        <v>78</v>
      </c>
      <c r="C21">
        <v>11</v>
      </c>
      <c r="D21" t="s">
        <v>53</v>
      </c>
      <c r="E21">
        <v>0</v>
      </c>
      <c r="F21">
        <v>4</v>
      </c>
      <c r="G21" t="s">
        <v>79</v>
      </c>
      <c r="H21" t="s">
        <v>80</v>
      </c>
      <c r="I21" t="s">
        <v>51</v>
      </c>
      <c r="J21" t="s">
        <v>16</v>
      </c>
      <c r="K21">
        <f t="shared" si="0"/>
        <v>0</v>
      </c>
    </row>
    <row r="22" spans="1:11" x14ac:dyDescent="0.25">
      <c r="A22" t="s">
        <v>47</v>
      </c>
      <c r="B22" t="s">
        <v>81</v>
      </c>
      <c r="C22">
        <v>13</v>
      </c>
      <c r="D22" t="s">
        <v>12</v>
      </c>
      <c r="E22">
        <v>0</v>
      </c>
      <c r="F22">
        <v>4</v>
      </c>
      <c r="G22" t="s">
        <v>82</v>
      </c>
      <c r="H22" t="s">
        <v>83</v>
      </c>
      <c r="I22" t="s">
        <v>15</v>
      </c>
      <c r="J22" t="s">
        <v>51</v>
      </c>
      <c r="K22">
        <f t="shared" si="0"/>
        <v>0</v>
      </c>
    </row>
    <row r="23" spans="1:11" x14ac:dyDescent="0.25">
      <c r="A23" t="s">
        <v>47</v>
      </c>
      <c r="B23" t="s">
        <v>84</v>
      </c>
      <c r="C23">
        <v>11</v>
      </c>
      <c r="D23" t="s">
        <v>12</v>
      </c>
      <c r="E23">
        <v>0</v>
      </c>
      <c r="F23">
        <v>4</v>
      </c>
      <c r="G23" t="s">
        <v>85</v>
      </c>
      <c r="H23" t="s">
        <v>86</v>
      </c>
      <c r="I23" t="s">
        <v>15</v>
      </c>
      <c r="J23" t="s">
        <v>51</v>
      </c>
      <c r="K23">
        <f t="shared" si="0"/>
        <v>0</v>
      </c>
    </row>
    <row r="24" spans="1:11" x14ac:dyDescent="0.25">
      <c r="A24" t="s">
        <v>10</v>
      </c>
      <c r="B24" t="s">
        <v>87</v>
      </c>
      <c r="C24">
        <v>11</v>
      </c>
      <c r="D24" t="s">
        <v>24</v>
      </c>
      <c r="E24">
        <v>0</v>
      </c>
      <c r="F24">
        <v>5</v>
      </c>
      <c r="G24" t="s">
        <v>88</v>
      </c>
      <c r="H24" t="s">
        <v>545</v>
      </c>
      <c r="I24" t="s">
        <v>15</v>
      </c>
      <c r="J24" t="s">
        <v>16</v>
      </c>
      <c r="K24">
        <f t="shared" si="0"/>
        <v>0</v>
      </c>
    </row>
    <row r="25" spans="1:11" x14ac:dyDescent="0.25">
      <c r="A25" t="s">
        <v>17</v>
      </c>
      <c r="B25" t="s">
        <v>89</v>
      </c>
      <c r="C25">
        <v>4</v>
      </c>
      <c r="D25" t="s">
        <v>19</v>
      </c>
      <c r="E25">
        <v>1</v>
      </c>
      <c r="F25">
        <v>4</v>
      </c>
      <c r="G25" t="s">
        <v>90</v>
      </c>
      <c r="H25" t="s">
        <v>91</v>
      </c>
      <c r="I25" t="s">
        <v>16</v>
      </c>
      <c r="J25" t="s">
        <v>15</v>
      </c>
      <c r="K25">
        <f t="shared" si="0"/>
        <v>1</v>
      </c>
    </row>
    <row r="26" spans="1:11" x14ac:dyDescent="0.25">
      <c r="A26" t="s">
        <v>56</v>
      </c>
      <c r="B26" t="s">
        <v>92</v>
      </c>
      <c r="C26">
        <v>7</v>
      </c>
      <c r="D26" t="s">
        <v>19</v>
      </c>
      <c r="E26">
        <v>0</v>
      </c>
      <c r="F26">
        <v>5</v>
      </c>
      <c r="G26" t="s">
        <v>93</v>
      </c>
      <c r="H26" t="s">
        <v>94</v>
      </c>
      <c r="I26" t="s">
        <v>51</v>
      </c>
      <c r="J26" t="s">
        <v>16</v>
      </c>
      <c r="K26">
        <f t="shared" si="0"/>
        <v>0</v>
      </c>
    </row>
    <row r="27" spans="1:11" x14ac:dyDescent="0.25">
      <c r="A27" t="s">
        <v>95</v>
      </c>
      <c r="B27" t="s">
        <v>96</v>
      </c>
      <c r="C27">
        <v>11</v>
      </c>
      <c r="D27" t="s">
        <v>70</v>
      </c>
      <c r="E27">
        <v>0</v>
      </c>
      <c r="F27">
        <v>4</v>
      </c>
      <c r="G27" t="s">
        <v>97</v>
      </c>
      <c r="H27" t="s">
        <v>98</v>
      </c>
      <c r="I27" t="s">
        <v>16</v>
      </c>
      <c r="J27" t="s">
        <v>16</v>
      </c>
      <c r="K27">
        <f t="shared" si="0"/>
        <v>0</v>
      </c>
    </row>
    <row r="28" spans="1:11" x14ac:dyDescent="0.25">
      <c r="A28" t="s">
        <v>56</v>
      </c>
      <c r="B28" t="s">
        <v>99</v>
      </c>
      <c r="C28">
        <v>3</v>
      </c>
      <c r="D28" t="s">
        <v>12</v>
      </c>
      <c r="E28">
        <v>0</v>
      </c>
      <c r="F28">
        <v>5</v>
      </c>
      <c r="G28" t="s">
        <v>100</v>
      </c>
      <c r="H28" t="s">
        <v>101</v>
      </c>
      <c r="I28" t="s">
        <v>51</v>
      </c>
      <c r="J28" t="s">
        <v>16</v>
      </c>
      <c r="K28">
        <f t="shared" si="0"/>
        <v>0</v>
      </c>
    </row>
    <row r="29" spans="1:11" x14ac:dyDescent="0.25">
      <c r="A29" t="s">
        <v>10</v>
      </c>
      <c r="B29" t="s">
        <v>102</v>
      </c>
      <c r="C29">
        <v>14</v>
      </c>
      <c r="D29" t="s">
        <v>70</v>
      </c>
      <c r="E29">
        <v>0</v>
      </c>
      <c r="F29">
        <v>4</v>
      </c>
      <c r="G29" t="s">
        <v>103</v>
      </c>
      <c r="H29" t="s">
        <v>104</v>
      </c>
      <c r="I29" t="s">
        <v>15</v>
      </c>
      <c r="J29" t="s">
        <v>16</v>
      </c>
      <c r="K29">
        <f t="shared" si="0"/>
        <v>0</v>
      </c>
    </row>
    <row r="30" spans="1:11" x14ac:dyDescent="0.25">
      <c r="A30" t="s">
        <v>22</v>
      </c>
      <c r="B30" t="s">
        <v>105</v>
      </c>
      <c r="C30">
        <v>13</v>
      </c>
      <c r="D30" t="s">
        <v>24</v>
      </c>
      <c r="E30">
        <v>0</v>
      </c>
      <c r="F30">
        <v>5</v>
      </c>
      <c r="G30" t="s">
        <v>106</v>
      </c>
      <c r="H30" t="s">
        <v>107</v>
      </c>
      <c r="I30" t="s">
        <v>16</v>
      </c>
      <c r="J30" t="s">
        <v>16</v>
      </c>
      <c r="K30">
        <f t="shared" si="0"/>
        <v>0</v>
      </c>
    </row>
    <row r="31" spans="1:11" x14ac:dyDescent="0.25">
      <c r="A31" t="s">
        <v>47</v>
      </c>
      <c r="B31" t="s">
        <v>108</v>
      </c>
      <c r="C31">
        <v>12</v>
      </c>
      <c r="D31" t="s">
        <v>24</v>
      </c>
      <c r="E31">
        <v>0</v>
      </c>
      <c r="F31">
        <v>5</v>
      </c>
      <c r="G31" t="s">
        <v>109</v>
      </c>
      <c r="H31" t="s">
        <v>110</v>
      </c>
      <c r="I31" t="s">
        <v>15</v>
      </c>
      <c r="J31" t="s">
        <v>51</v>
      </c>
      <c r="K31">
        <f t="shared" si="0"/>
        <v>0</v>
      </c>
    </row>
    <row r="32" spans="1:11" x14ac:dyDescent="0.25">
      <c r="A32" t="s">
        <v>56</v>
      </c>
      <c r="B32" t="s">
        <v>111</v>
      </c>
      <c r="C32">
        <v>13</v>
      </c>
      <c r="D32" t="s">
        <v>70</v>
      </c>
      <c r="E32">
        <v>0</v>
      </c>
      <c r="F32">
        <v>5</v>
      </c>
      <c r="G32" t="s">
        <v>112</v>
      </c>
      <c r="H32" t="s">
        <v>113</v>
      </c>
      <c r="I32" t="s">
        <v>51</v>
      </c>
      <c r="J32" t="s">
        <v>16</v>
      </c>
      <c r="K32">
        <f t="shared" si="0"/>
        <v>0</v>
      </c>
    </row>
    <row r="33" spans="1:11" x14ac:dyDescent="0.25">
      <c r="A33" t="s">
        <v>47</v>
      </c>
      <c r="B33" t="s">
        <v>114</v>
      </c>
      <c r="C33">
        <v>12</v>
      </c>
      <c r="D33" t="s">
        <v>19</v>
      </c>
      <c r="E33">
        <v>0</v>
      </c>
      <c r="F33">
        <v>4</v>
      </c>
      <c r="G33" t="s">
        <v>115</v>
      </c>
      <c r="H33" t="s">
        <v>116</v>
      </c>
      <c r="I33" t="s">
        <v>15</v>
      </c>
      <c r="J33" t="s">
        <v>51</v>
      </c>
      <c r="K33">
        <f t="shared" si="0"/>
        <v>0</v>
      </c>
    </row>
    <row r="34" spans="1:11" x14ac:dyDescent="0.25">
      <c r="A34" t="s">
        <v>95</v>
      </c>
      <c r="B34" t="s">
        <v>117</v>
      </c>
      <c r="C34">
        <v>10</v>
      </c>
      <c r="D34" t="s">
        <v>12</v>
      </c>
      <c r="E34">
        <v>3</v>
      </c>
      <c r="F34">
        <v>4</v>
      </c>
      <c r="G34" t="s">
        <v>118</v>
      </c>
      <c r="H34" t="s">
        <v>119</v>
      </c>
      <c r="I34" t="s">
        <v>16</v>
      </c>
      <c r="J34" t="s">
        <v>16</v>
      </c>
      <c r="K34">
        <f t="shared" si="0"/>
        <v>1</v>
      </c>
    </row>
    <row r="35" spans="1:11" x14ac:dyDescent="0.25">
      <c r="A35" t="s">
        <v>47</v>
      </c>
      <c r="B35" t="s">
        <v>120</v>
      </c>
      <c r="C35">
        <v>12</v>
      </c>
      <c r="D35" t="s">
        <v>53</v>
      </c>
      <c r="E35">
        <v>0</v>
      </c>
      <c r="F35">
        <v>4</v>
      </c>
      <c r="G35" t="s">
        <v>121</v>
      </c>
      <c r="H35" t="s">
        <v>122</v>
      </c>
      <c r="I35" t="s">
        <v>15</v>
      </c>
      <c r="J35" t="s">
        <v>51</v>
      </c>
      <c r="K35">
        <f t="shared" si="0"/>
        <v>0</v>
      </c>
    </row>
    <row r="36" spans="1:11" x14ac:dyDescent="0.25">
      <c r="A36" t="s">
        <v>47</v>
      </c>
      <c r="B36" t="s">
        <v>123</v>
      </c>
      <c r="C36">
        <v>8</v>
      </c>
      <c r="D36" t="s">
        <v>19</v>
      </c>
      <c r="E36">
        <v>0</v>
      </c>
      <c r="F36">
        <v>5</v>
      </c>
      <c r="G36" t="s">
        <v>124</v>
      </c>
      <c r="H36" t="s">
        <v>125</v>
      </c>
      <c r="I36" t="s">
        <v>15</v>
      </c>
      <c r="J36" t="s">
        <v>51</v>
      </c>
      <c r="K36">
        <f t="shared" si="0"/>
        <v>0</v>
      </c>
    </row>
    <row r="37" spans="1:11" x14ac:dyDescent="0.25">
      <c r="A37" t="s">
        <v>22</v>
      </c>
      <c r="B37" t="s">
        <v>126</v>
      </c>
      <c r="C37">
        <v>3</v>
      </c>
      <c r="D37" t="s">
        <v>70</v>
      </c>
      <c r="E37">
        <v>0</v>
      </c>
      <c r="F37">
        <v>3</v>
      </c>
      <c r="G37" t="s">
        <v>127</v>
      </c>
      <c r="H37" t="s">
        <v>128</v>
      </c>
      <c r="I37" t="s">
        <v>16</v>
      </c>
      <c r="J37" t="s">
        <v>16</v>
      </c>
      <c r="K37">
        <f t="shared" si="0"/>
        <v>0</v>
      </c>
    </row>
    <row r="38" spans="1:11" x14ac:dyDescent="0.25">
      <c r="A38" t="s">
        <v>56</v>
      </c>
      <c r="B38" t="s">
        <v>129</v>
      </c>
      <c r="C38">
        <v>13</v>
      </c>
      <c r="D38" t="s">
        <v>24</v>
      </c>
      <c r="E38">
        <v>0</v>
      </c>
      <c r="F38">
        <v>1</v>
      </c>
      <c r="G38" t="s">
        <v>130</v>
      </c>
      <c r="H38" t="s">
        <v>131</v>
      </c>
      <c r="I38" t="s">
        <v>51</v>
      </c>
      <c r="J38" t="s">
        <v>16</v>
      </c>
      <c r="K38">
        <f t="shared" si="0"/>
        <v>0</v>
      </c>
    </row>
    <row r="39" spans="1:11" x14ac:dyDescent="0.25">
      <c r="A39" t="s">
        <v>10</v>
      </c>
      <c r="B39" t="s">
        <v>132</v>
      </c>
      <c r="C39">
        <v>13</v>
      </c>
      <c r="D39" t="s">
        <v>24</v>
      </c>
      <c r="E39">
        <v>0</v>
      </c>
      <c r="F39">
        <v>5</v>
      </c>
      <c r="G39" t="s">
        <v>133</v>
      </c>
      <c r="H39" t="s">
        <v>134</v>
      </c>
      <c r="I39" t="s">
        <v>15</v>
      </c>
      <c r="J39" t="s">
        <v>16</v>
      </c>
      <c r="K39">
        <f t="shared" si="0"/>
        <v>0</v>
      </c>
    </row>
    <row r="40" spans="1:11" x14ac:dyDescent="0.25">
      <c r="A40" t="s">
        <v>47</v>
      </c>
      <c r="B40" t="s">
        <v>135</v>
      </c>
      <c r="C40">
        <v>11</v>
      </c>
      <c r="D40" t="s">
        <v>70</v>
      </c>
      <c r="E40">
        <v>0</v>
      </c>
      <c r="F40" t="s">
        <v>67</v>
      </c>
      <c r="G40" t="s">
        <v>119</v>
      </c>
      <c r="H40" t="s">
        <v>136</v>
      </c>
      <c r="I40" t="s">
        <v>15</v>
      </c>
      <c r="J40" t="s">
        <v>51</v>
      </c>
      <c r="K40">
        <f t="shared" si="0"/>
        <v>0</v>
      </c>
    </row>
    <row r="41" spans="1:11" x14ac:dyDescent="0.25">
      <c r="A41" t="s">
        <v>22</v>
      </c>
      <c r="B41" t="s">
        <v>137</v>
      </c>
      <c r="C41">
        <v>13</v>
      </c>
      <c r="D41" t="s">
        <v>12</v>
      </c>
      <c r="E41">
        <v>0</v>
      </c>
      <c r="F41">
        <v>4.5</v>
      </c>
      <c r="G41" t="s">
        <v>138</v>
      </c>
      <c r="H41" t="s">
        <v>139</v>
      </c>
      <c r="I41" t="s">
        <v>16</v>
      </c>
      <c r="J41" t="s">
        <v>16</v>
      </c>
      <c r="K41">
        <f t="shared" si="0"/>
        <v>0</v>
      </c>
    </row>
    <row r="42" spans="1:11" x14ac:dyDescent="0.25">
      <c r="A42" t="s">
        <v>10</v>
      </c>
      <c r="B42" t="s">
        <v>140</v>
      </c>
      <c r="C42">
        <v>14</v>
      </c>
      <c r="D42" t="s">
        <v>53</v>
      </c>
      <c r="E42">
        <v>0</v>
      </c>
      <c r="F42">
        <v>5</v>
      </c>
      <c r="G42" t="s">
        <v>141</v>
      </c>
      <c r="H42" t="s">
        <v>142</v>
      </c>
      <c r="I42" t="s">
        <v>15</v>
      </c>
      <c r="J42" t="s">
        <v>16</v>
      </c>
      <c r="K42">
        <f t="shared" si="0"/>
        <v>0</v>
      </c>
    </row>
    <row r="43" spans="1:11" x14ac:dyDescent="0.25">
      <c r="A43" t="s">
        <v>47</v>
      </c>
      <c r="B43" t="s">
        <v>143</v>
      </c>
      <c r="C43">
        <v>12</v>
      </c>
      <c r="D43" t="s">
        <v>53</v>
      </c>
      <c r="E43">
        <v>0</v>
      </c>
      <c r="F43">
        <v>4</v>
      </c>
      <c r="G43" t="s">
        <v>144</v>
      </c>
      <c r="H43" t="s">
        <v>145</v>
      </c>
      <c r="I43" t="s">
        <v>15</v>
      </c>
      <c r="J43" t="s">
        <v>51</v>
      </c>
      <c r="K43">
        <f t="shared" si="0"/>
        <v>0</v>
      </c>
    </row>
    <row r="44" spans="1:11" x14ac:dyDescent="0.25">
      <c r="A44" t="s">
        <v>56</v>
      </c>
      <c r="B44" t="s">
        <v>146</v>
      </c>
      <c r="C44">
        <v>13</v>
      </c>
      <c r="D44" t="s">
        <v>53</v>
      </c>
      <c r="E44">
        <v>0</v>
      </c>
      <c r="F44">
        <v>4</v>
      </c>
      <c r="G44" t="s">
        <v>147</v>
      </c>
      <c r="H44" t="s">
        <v>148</v>
      </c>
      <c r="I44" t="s">
        <v>51</v>
      </c>
      <c r="J44" t="s">
        <v>16</v>
      </c>
      <c r="K44">
        <f t="shared" si="0"/>
        <v>0</v>
      </c>
    </row>
    <row r="45" spans="1:11" x14ac:dyDescent="0.25">
      <c r="A45" t="s">
        <v>22</v>
      </c>
      <c r="B45" t="s">
        <v>149</v>
      </c>
      <c r="C45">
        <v>14</v>
      </c>
      <c r="D45" t="s">
        <v>70</v>
      </c>
      <c r="E45">
        <v>0</v>
      </c>
      <c r="F45">
        <v>4</v>
      </c>
      <c r="G45" t="s">
        <v>150</v>
      </c>
      <c r="H45" t="s">
        <v>151</v>
      </c>
      <c r="I45" t="s">
        <v>16</v>
      </c>
      <c r="J45" t="s">
        <v>16</v>
      </c>
      <c r="K45">
        <f t="shared" si="0"/>
        <v>0</v>
      </c>
    </row>
    <row r="46" spans="1:11" x14ac:dyDescent="0.25">
      <c r="A46" t="s">
        <v>10</v>
      </c>
      <c r="B46" t="s">
        <v>152</v>
      </c>
      <c r="C46">
        <v>14</v>
      </c>
      <c r="D46" t="s">
        <v>19</v>
      </c>
      <c r="E46">
        <v>0</v>
      </c>
      <c r="F46">
        <v>4</v>
      </c>
      <c r="G46" t="s">
        <v>153</v>
      </c>
      <c r="H46" t="s">
        <v>154</v>
      </c>
      <c r="I46" t="s">
        <v>15</v>
      </c>
      <c r="J46" t="s">
        <v>16</v>
      </c>
      <c r="K46">
        <f t="shared" si="0"/>
        <v>0</v>
      </c>
    </row>
    <row r="47" spans="1:11" x14ac:dyDescent="0.25">
      <c r="A47" t="s">
        <v>47</v>
      </c>
      <c r="B47" t="s">
        <v>155</v>
      </c>
      <c r="C47">
        <v>8</v>
      </c>
      <c r="D47" t="s">
        <v>19</v>
      </c>
      <c r="E47">
        <v>0</v>
      </c>
      <c r="F47">
        <v>2</v>
      </c>
      <c r="G47" t="s">
        <v>156</v>
      </c>
      <c r="H47" t="s">
        <v>157</v>
      </c>
      <c r="I47" t="s">
        <v>15</v>
      </c>
      <c r="J47" t="s">
        <v>51</v>
      </c>
      <c r="K47">
        <f t="shared" si="0"/>
        <v>0</v>
      </c>
    </row>
    <row r="48" spans="1:11" x14ac:dyDescent="0.25">
      <c r="A48" t="s">
        <v>10</v>
      </c>
      <c r="B48" t="s">
        <v>158</v>
      </c>
      <c r="C48">
        <v>15</v>
      </c>
      <c r="D48" t="s">
        <v>24</v>
      </c>
      <c r="E48">
        <v>0</v>
      </c>
      <c r="F48">
        <v>5</v>
      </c>
      <c r="G48" t="s">
        <v>159</v>
      </c>
      <c r="H48" t="s">
        <v>160</v>
      </c>
      <c r="I48" t="s">
        <v>15</v>
      </c>
      <c r="J48" t="s">
        <v>16</v>
      </c>
      <c r="K48">
        <f t="shared" si="0"/>
        <v>0</v>
      </c>
    </row>
    <row r="49" spans="1:11" x14ac:dyDescent="0.25">
      <c r="A49" t="s">
        <v>22</v>
      </c>
      <c r="B49" t="s">
        <v>161</v>
      </c>
      <c r="C49">
        <v>12</v>
      </c>
      <c r="D49" t="s">
        <v>19</v>
      </c>
      <c r="E49">
        <v>0</v>
      </c>
      <c r="F49">
        <v>4</v>
      </c>
      <c r="G49" t="s">
        <v>162</v>
      </c>
      <c r="H49" t="s">
        <v>163</v>
      </c>
      <c r="I49" t="s">
        <v>16</v>
      </c>
      <c r="J49" t="s">
        <v>16</v>
      </c>
      <c r="K49">
        <f t="shared" si="0"/>
        <v>0</v>
      </c>
    </row>
    <row r="50" spans="1:11" x14ac:dyDescent="0.25">
      <c r="A50" t="s">
        <v>22</v>
      </c>
      <c r="B50" t="s">
        <v>164</v>
      </c>
      <c r="C50">
        <v>14</v>
      </c>
      <c r="D50" t="s">
        <v>53</v>
      </c>
      <c r="E50">
        <v>1</v>
      </c>
      <c r="F50">
        <v>5</v>
      </c>
      <c r="G50" t="s">
        <v>165</v>
      </c>
      <c r="H50" t="s">
        <v>166</v>
      </c>
      <c r="I50" t="s">
        <v>16</v>
      </c>
      <c r="J50" t="s">
        <v>16</v>
      </c>
      <c r="K50">
        <f t="shared" si="0"/>
        <v>1</v>
      </c>
    </row>
    <row r="51" spans="1:11" x14ac:dyDescent="0.25">
      <c r="A51" t="s">
        <v>22</v>
      </c>
      <c r="B51" t="s">
        <v>167</v>
      </c>
      <c r="C51">
        <v>8</v>
      </c>
      <c r="D51" t="s">
        <v>53</v>
      </c>
      <c r="E51">
        <v>0</v>
      </c>
      <c r="F51">
        <v>4</v>
      </c>
      <c r="G51" t="s">
        <v>168</v>
      </c>
      <c r="H51" t="s">
        <v>169</v>
      </c>
      <c r="I51" t="s">
        <v>16</v>
      </c>
      <c r="J51" t="s">
        <v>16</v>
      </c>
      <c r="K51">
        <f t="shared" si="0"/>
        <v>0</v>
      </c>
    </row>
    <row r="52" spans="1:11" x14ac:dyDescent="0.25">
      <c r="A52" t="s">
        <v>22</v>
      </c>
      <c r="B52" t="s">
        <v>170</v>
      </c>
      <c r="C52">
        <v>15</v>
      </c>
      <c r="D52" t="s">
        <v>70</v>
      </c>
      <c r="E52">
        <v>0</v>
      </c>
      <c r="F52">
        <v>5</v>
      </c>
      <c r="G52" t="s">
        <v>171</v>
      </c>
      <c r="H52" t="s">
        <v>172</v>
      </c>
      <c r="I52" t="s">
        <v>16</v>
      </c>
      <c r="J52" t="s">
        <v>16</v>
      </c>
      <c r="K52">
        <f t="shared" si="0"/>
        <v>0</v>
      </c>
    </row>
    <row r="53" spans="1:11" x14ac:dyDescent="0.25">
      <c r="A53" t="s">
        <v>22</v>
      </c>
      <c r="B53" t="s">
        <v>173</v>
      </c>
      <c r="C53">
        <v>9</v>
      </c>
      <c r="D53" t="s">
        <v>53</v>
      </c>
      <c r="E53">
        <v>0</v>
      </c>
      <c r="F53">
        <v>5</v>
      </c>
      <c r="G53" t="s">
        <v>174</v>
      </c>
      <c r="H53" t="s">
        <v>175</v>
      </c>
      <c r="I53" t="s">
        <v>16</v>
      </c>
      <c r="J53" t="s">
        <v>16</v>
      </c>
      <c r="K53">
        <f t="shared" si="0"/>
        <v>0</v>
      </c>
    </row>
    <row r="54" spans="1:11" x14ac:dyDescent="0.25">
      <c r="A54" t="s">
        <v>10</v>
      </c>
      <c r="B54" t="s">
        <v>176</v>
      </c>
      <c r="C54">
        <v>15</v>
      </c>
      <c r="D54" t="s">
        <v>53</v>
      </c>
      <c r="E54">
        <v>0</v>
      </c>
      <c r="F54">
        <v>4</v>
      </c>
      <c r="G54" t="s">
        <v>177</v>
      </c>
      <c r="H54" t="s">
        <v>546</v>
      </c>
      <c r="I54" t="s">
        <v>15</v>
      </c>
      <c r="J54" t="s">
        <v>16</v>
      </c>
      <c r="K54">
        <f t="shared" si="0"/>
        <v>0</v>
      </c>
    </row>
    <row r="55" spans="1:11" x14ac:dyDescent="0.25">
      <c r="A55" t="s">
        <v>22</v>
      </c>
      <c r="B55" t="s">
        <v>178</v>
      </c>
      <c r="C55">
        <v>15</v>
      </c>
      <c r="D55" t="s">
        <v>53</v>
      </c>
      <c r="E55">
        <v>0</v>
      </c>
      <c r="F55">
        <v>5</v>
      </c>
      <c r="G55" t="s">
        <v>179</v>
      </c>
      <c r="H55" t="s">
        <v>180</v>
      </c>
      <c r="I55" t="s">
        <v>16</v>
      </c>
      <c r="J55" t="s">
        <v>16</v>
      </c>
      <c r="K55">
        <f t="shared" si="0"/>
        <v>0</v>
      </c>
    </row>
    <row r="56" spans="1:11" x14ac:dyDescent="0.25">
      <c r="A56" t="s">
        <v>56</v>
      </c>
      <c r="B56" t="s">
        <v>181</v>
      </c>
      <c r="C56">
        <v>4</v>
      </c>
      <c r="D56" t="s">
        <v>24</v>
      </c>
      <c r="E56">
        <v>0</v>
      </c>
      <c r="F56">
        <v>5</v>
      </c>
      <c r="G56" t="s">
        <v>182</v>
      </c>
      <c r="H56" t="s">
        <v>183</v>
      </c>
      <c r="I56" t="s">
        <v>51</v>
      </c>
      <c r="J56" t="s">
        <v>16</v>
      </c>
      <c r="K56">
        <f t="shared" si="0"/>
        <v>0</v>
      </c>
    </row>
    <row r="57" spans="1:11" x14ac:dyDescent="0.25">
      <c r="A57" t="s">
        <v>22</v>
      </c>
      <c r="B57" t="s">
        <v>184</v>
      </c>
      <c r="C57">
        <v>13</v>
      </c>
      <c r="D57" t="s">
        <v>70</v>
      </c>
      <c r="E57">
        <v>0</v>
      </c>
      <c r="F57">
        <v>5</v>
      </c>
      <c r="G57" t="s">
        <v>185</v>
      </c>
      <c r="H57" t="s">
        <v>186</v>
      </c>
      <c r="I57" t="s">
        <v>16</v>
      </c>
      <c r="J57" t="s">
        <v>16</v>
      </c>
      <c r="K57">
        <f t="shared" si="0"/>
        <v>0</v>
      </c>
    </row>
    <row r="58" spans="1:11" x14ac:dyDescent="0.25">
      <c r="A58" t="s">
        <v>10</v>
      </c>
      <c r="B58" t="s">
        <v>187</v>
      </c>
      <c r="C58">
        <v>8</v>
      </c>
      <c r="D58" t="s">
        <v>12</v>
      </c>
      <c r="E58">
        <v>0</v>
      </c>
      <c r="F58">
        <v>4</v>
      </c>
      <c r="G58" t="s">
        <v>188</v>
      </c>
      <c r="H58" t="s">
        <v>189</v>
      </c>
      <c r="I58" t="s">
        <v>15</v>
      </c>
      <c r="J58" t="s">
        <v>16</v>
      </c>
      <c r="K58">
        <f t="shared" si="0"/>
        <v>0</v>
      </c>
    </row>
    <row r="59" spans="1:11" x14ac:dyDescent="0.25">
      <c r="A59" t="s">
        <v>10</v>
      </c>
      <c r="B59" t="s">
        <v>190</v>
      </c>
      <c r="C59">
        <v>15</v>
      </c>
      <c r="D59" t="s">
        <v>19</v>
      </c>
      <c r="E59">
        <v>0</v>
      </c>
      <c r="F59">
        <v>1</v>
      </c>
      <c r="G59" t="s">
        <v>191</v>
      </c>
      <c r="H59" t="s">
        <v>192</v>
      </c>
      <c r="I59" t="s">
        <v>15</v>
      </c>
      <c r="J59" t="s">
        <v>16</v>
      </c>
      <c r="K59">
        <f t="shared" si="0"/>
        <v>0</v>
      </c>
    </row>
    <row r="60" spans="1:11" x14ac:dyDescent="0.25">
      <c r="A60" t="s">
        <v>56</v>
      </c>
      <c r="B60" t="s">
        <v>193</v>
      </c>
      <c r="C60">
        <v>11</v>
      </c>
      <c r="D60" t="s">
        <v>53</v>
      </c>
      <c r="E60">
        <v>0</v>
      </c>
      <c r="F60">
        <v>5</v>
      </c>
      <c r="G60" t="s">
        <v>194</v>
      </c>
      <c r="H60" t="s">
        <v>195</v>
      </c>
      <c r="I60" t="s">
        <v>51</v>
      </c>
      <c r="J60" t="s">
        <v>16</v>
      </c>
      <c r="K60">
        <f t="shared" si="0"/>
        <v>0</v>
      </c>
    </row>
    <row r="61" spans="1:11" x14ac:dyDescent="0.25">
      <c r="A61" t="s">
        <v>47</v>
      </c>
      <c r="B61" t="s">
        <v>196</v>
      </c>
      <c r="C61">
        <v>12</v>
      </c>
      <c r="D61" t="s">
        <v>53</v>
      </c>
      <c r="E61">
        <v>0</v>
      </c>
      <c r="F61">
        <v>5</v>
      </c>
      <c r="G61" t="s">
        <v>197</v>
      </c>
      <c r="H61" t="s">
        <v>198</v>
      </c>
      <c r="I61" t="s">
        <v>15</v>
      </c>
      <c r="J61" t="s">
        <v>51</v>
      </c>
      <c r="K61">
        <f t="shared" si="0"/>
        <v>0</v>
      </c>
    </row>
    <row r="62" spans="1:11" x14ac:dyDescent="0.25">
      <c r="A62" t="s">
        <v>47</v>
      </c>
      <c r="B62" t="s">
        <v>199</v>
      </c>
      <c r="C62">
        <v>13</v>
      </c>
      <c r="D62" t="s">
        <v>12</v>
      </c>
      <c r="E62">
        <v>0</v>
      </c>
      <c r="F62">
        <v>3</v>
      </c>
      <c r="G62" t="s">
        <v>200</v>
      </c>
      <c r="H62" t="s">
        <v>201</v>
      </c>
      <c r="I62" t="s">
        <v>15</v>
      </c>
      <c r="J62" t="s">
        <v>51</v>
      </c>
      <c r="K62">
        <f t="shared" si="0"/>
        <v>0</v>
      </c>
    </row>
    <row r="63" spans="1:11" x14ac:dyDescent="0.25">
      <c r="A63" t="s">
        <v>22</v>
      </c>
      <c r="B63" t="s">
        <v>202</v>
      </c>
      <c r="C63">
        <v>12</v>
      </c>
      <c r="D63" t="s">
        <v>19</v>
      </c>
      <c r="E63">
        <v>0</v>
      </c>
      <c r="F63">
        <v>5</v>
      </c>
      <c r="G63" t="s">
        <v>203</v>
      </c>
      <c r="H63" t="s">
        <v>204</v>
      </c>
      <c r="I63" t="s">
        <v>16</v>
      </c>
      <c r="J63" t="s">
        <v>16</v>
      </c>
      <c r="K63">
        <f t="shared" si="0"/>
        <v>0</v>
      </c>
    </row>
    <row r="64" spans="1:11" x14ac:dyDescent="0.25">
      <c r="A64" t="s">
        <v>56</v>
      </c>
      <c r="B64" t="s">
        <v>205</v>
      </c>
      <c r="C64">
        <v>13</v>
      </c>
      <c r="D64" t="s">
        <v>53</v>
      </c>
      <c r="E64">
        <v>0</v>
      </c>
      <c r="F64">
        <v>3.5698500000000002</v>
      </c>
      <c r="G64" t="s">
        <v>206</v>
      </c>
      <c r="H64" t="s">
        <v>207</v>
      </c>
      <c r="I64" t="s">
        <v>51</v>
      </c>
      <c r="J64" t="s">
        <v>16</v>
      </c>
      <c r="K64">
        <f t="shared" si="0"/>
        <v>0</v>
      </c>
    </row>
    <row r="65" spans="1:11" x14ac:dyDescent="0.25">
      <c r="A65" t="s">
        <v>17</v>
      </c>
      <c r="B65" t="s">
        <v>208</v>
      </c>
      <c r="C65">
        <v>11</v>
      </c>
      <c r="D65" t="s">
        <v>12</v>
      </c>
      <c r="E65">
        <v>1</v>
      </c>
      <c r="F65">
        <v>4</v>
      </c>
      <c r="G65" t="s">
        <v>209</v>
      </c>
      <c r="H65" t="s">
        <v>210</v>
      </c>
      <c r="I65" t="s">
        <v>16</v>
      </c>
      <c r="J65" t="s">
        <v>15</v>
      </c>
      <c r="K65">
        <f t="shared" si="0"/>
        <v>1</v>
      </c>
    </row>
    <row r="66" spans="1:11" x14ac:dyDescent="0.25">
      <c r="A66" t="s">
        <v>22</v>
      </c>
      <c r="B66" t="s">
        <v>211</v>
      </c>
      <c r="C66">
        <v>15</v>
      </c>
      <c r="D66" t="s">
        <v>12</v>
      </c>
      <c r="E66">
        <v>0</v>
      </c>
      <c r="F66">
        <v>4</v>
      </c>
      <c r="G66" t="s">
        <v>212</v>
      </c>
      <c r="H66" t="s">
        <v>213</v>
      </c>
      <c r="I66" t="s">
        <v>16</v>
      </c>
      <c r="J66" t="s">
        <v>16</v>
      </c>
      <c r="K66">
        <f t="shared" si="0"/>
        <v>0</v>
      </c>
    </row>
    <row r="67" spans="1:11" x14ac:dyDescent="0.25">
      <c r="A67" t="s">
        <v>22</v>
      </c>
      <c r="B67" t="s">
        <v>214</v>
      </c>
      <c r="C67">
        <v>11</v>
      </c>
      <c r="D67" t="s">
        <v>19</v>
      </c>
      <c r="E67">
        <v>1</v>
      </c>
      <c r="F67">
        <v>5</v>
      </c>
      <c r="G67" t="s">
        <v>215</v>
      </c>
      <c r="H67" t="s">
        <v>216</v>
      </c>
      <c r="I67" t="s">
        <v>16</v>
      </c>
      <c r="J67" t="s">
        <v>16</v>
      </c>
      <c r="K67">
        <f t="shared" ref="K67:K130" si="1">IF(E67&gt;0,1,0)</f>
        <v>1</v>
      </c>
    </row>
    <row r="68" spans="1:11" x14ac:dyDescent="0.25">
      <c r="A68" t="s">
        <v>56</v>
      </c>
      <c r="B68" t="s">
        <v>217</v>
      </c>
      <c r="C68">
        <v>13</v>
      </c>
      <c r="D68" t="s">
        <v>24</v>
      </c>
      <c r="E68">
        <v>0</v>
      </c>
      <c r="F68">
        <v>4</v>
      </c>
      <c r="G68" t="s">
        <v>218</v>
      </c>
      <c r="H68" t="s">
        <v>219</v>
      </c>
      <c r="I68" t="s">
        <v>51</v>
      </c>
      <c r="J68" t="s">
        <v>16</v>
      </c>
      <c r="K68">
        <f t="shared" si="1"/>
        <v>0</v>
      </c>
    </row>
    <row r="69" spans="1:11" x14ac:dyDescent="0.25">
      <c r="A69" t="s">
        <v>22</v>
      </c>
      <c r="B69" t="s">
        <v>220</v>
      </c>
      <c r="C69">
        <v>12</v>
      </c>
      <c r="D69" t="s">
        <v>12</v>
      </c>
      <c r="E69">
        <v>0</v>
      </c>
      <c r="F69">
        <v>3.5</v>
      </c>
      <c r="G69" t="s">
        <v>221</v>
      </c>
      <c r="H69" t="s">
        <v>222</v>
      </c>
      <c r="I69" t="s">
        <v>16</v>
      </c>
      <c r="J69" t="s">
        <v>16</v>
      </c>
      <c r="K69">
        <f t="shared" si="1"/>
        <v>0</v>
      </c>
    </row>
    <row r="70" spans="1:11" x14ac:dyDescent="0.25">
      <c r="A70" t="s">
        <v>10</v>
      </c>
      <c r="B70" t="s">
        <v>223</v>
      </c>
      <c r="C70">
        <v>14</v>
      </c>
      <c r="D70" t="s">
        <v>70</v>
      </c>
      <c r="E70">
        <v>0</v>
      </c>
      <c r="F70">
        <v>5</v>
      </c>
      <c r="G70" t="s">
        <v>224</v>
      </c>
      <c r="H70" t="s">
        <v>225</v>
      </c>
      <c r="I70" t="s">
        <v>15</v>
      </c>
      <c r="J70" t="s">
        <v>16</v>
      </c>
      <c r="K70">
        <f t="shared" si="1"/>
        <v>0</v>
      </c>
    </row>
    <row r="71" spans="1:11" x14ac:dyDescent="0.25">
      <c r="A71" t="s">
        <v>10</v>
      </c>
      <c r="B71" t="s">
        <v>226</v>
      </c>
      <c r="C71">
        <v>12</v>
      </c>
      <c r="D71" t="s">
        <v>19</v>
      </c>
      <c r="E71">
        <v>0</v>
      </c>
      <c r="F71">
        <v>5</v>
      </c>
      <c r="G71" t="s">
        <v>227</v>
      </c>
      <c r="H71" t="s">
        <v>228</v>
      </c>
      <c r="I71" t="s">
        <v>15</v>
      </c>
      <c r="J71" t="s">
        <v>16</v>
      </c>
      <c r="K71">
        <f t="shared" si="1"/>
        <v>0</v>
      </c>
    </row>
    <row r="72" spans="1:11" x14ac:dyDescent="0.25">
      <c r="A72" t="s">
        <v>10</v>
      </c>
      <c r="B72" t="s">
        <v>229</v>
      </c>
      <c r="C72">
        <v>13</v>
      </c>
      <c r="D72" t="s">
        <v>70</v>
      </c>
      <c r="E72">
        <v>0</v>
      </c>
      <c r="F72">
        <v>5</v>
      </c>
      <c r="G72" t="s">
        <v>230</v>
      </c>
      <c r="H72" t="s">
        <v>231</v>
      </c>
      <c r="I72" t="s">
        <v>15</v>
      </c>
      <c r="J72" t="s">
        <v>16</v>
      </c>
      <c r="K72">
        <f t="shared" si="1"/>
        <v>0</v>
      </c>
    </row>
    <row r="73" spans="1:11" x14ac:dyDescent="0.25">
      <c r="A73" t="s">
        <v>47</v>
      </c>
      <c r="B73" t="s">
        <v>232</v>
      </c>
      <c r="C73">
        <v>12</v>
      </c>
      <c r="D73" t="s">
        <v>53</v>
      </c>
      <c r="E73">
        <v>0</v>
      </c>
      <c r="F73">
        <v>4</v>
      </c>
      <c r="G73" t="s">
        <v>233</v>
      </c>
      <c r="H73" t="s">
        <v>234</v>
      </c>
      <c r="I73" t="s">
        <v>15</v>
      </c>
      <c r="J73" t="s">
        <v>51</v>
      </c>
      <c r="K73">
        <f t="shared" si="1"/>
        <v>0</v>
      </c>
    </row>
    <row r="74" spans="1:11" x14ac:dyDescent="0.25">
      <c r="A74" t="s">
        <v>10</v>
      </c>
      <c r="B74" t="s">
        <v>235</v>
      </c>
      <c r="C74">
        <v>15</v>
      </c>
      <c r="D74" t="s">
        <v>12</v>
      </c>
      <c r="E74">
        <v>0</v>
      </c>
      <c r="F74">
        <v>5</v>
      </c>
      <c r="G74" t="s">
        <v>236</v>
      </c>
      <c r="H74" t="s">
        <v>237</v>
      </c>
      <c r="I74" t="s">
        <v>15</v>
      </c>
      <c r="J74" t="s">
        <v>16</v>
      </c>
      <c r="K74">
        <f t="shared" si="1"/>
        <v>0</v>
      </c>
    </row>
    <row r="75" spans="1:11" x14ac:dyDescent="0.25">
      <c r="A75" t="s">
        <v>17</v>
      </c>
      <c r="B75" t="s">
        <v>238</v>
      </c>
      <c r="C75">
        <v>10</v>
      </c>
      <c r="D75" t="s">
        <v>19</v>
      </c>
      <c r="E75">
        <v>0</v>
      </c>
      <c r="F75">
        <v>5</v>
      </c>
      <c r="G75" t="s">
        <v>239</v>
      </c>
      <c r="H75" t="s">
        <v>240</v>
      </c>
      <c r="I75" t="s">
        <v>16</v>
      </c>
      <c r="J75" t="s">
        <v>15</v>
      </c>
      <c r="K75">
        <f t="shared" si="1"/>
        <v>0</v>
      </c>
    </row>
    <row r="76" spans="1:11" x14ac:dyDescent="0.25">
      <c r="A76" t="s">
        <v>47</v>
      </c>
      <c r="B76" t="s">
        <v>241</v>
      </c>
      <c r="C76">
        <v>12</v>
      </c>
      <c r="D76" t="s">
        <v>19</v>
      </c>
      <c r="E76">
        <v>0</v>
      </c>
      <c r="F76">
        <v>5</v>
      </c>
      <c r="G76" t="s">
        <v>242</v>
      </c>
      <c r="H76" t="s">
        <v>243</v>
      </c>
      <c r="I76" t="s">
        <v>15</v>
      </c>
      <c r="J76" t="s">
        <v>51</v>
      </c>
      <c r="K76">
        <f t="shared" si="1"/>
        <v>0</v>
      </c>
    </row>
    <row r="77" spans="1:11" x14ac:dyDescent="0.25">
      <c r="A77" t="s">
        <v>56</v>
      </c>
      <c r="B77" t="s">
        <v>244</v>
      </c>
      <c r="C77">
        <v>15</v>
      </c>
      <c r="D77" t="s">
        <v>12</v>
      </c>
      <c r="E77">
        <v>0</v>
      </c>
      <c r="F77">
        <v>4</v>
      </c>
      <c r="G77" t="s">
        <v>245</v>
      </c>
      <c r="H77" t="s">
        <v>246</v>
      </c>
      <c r="I77" t="s">
        <v>51</v>
      </c>
      <c r="J77" t="s">
        <v>16</v>
      </c>
      <c r="K77">
        <f t="shared" si="1"/>
        <v>0</v>
      </c>
    </row>
    <row r="78" spans="1:11" x14ac:dyDescent="0.25">
      <c r="A78" t="s">
        <v>47</v>
      </c>
      <c r="B78" t="s">
        <v>247</v>
      </c>
      <c r="C78">
        <v>12</v>
      </c>
      <c r="D78" t="s">
        <v>53</v>
      </c>
      <c r="E78">
        <v>0</v>
      </c>
      <c r="F78">
        <v>5</v>
      </c>
      <c r="G78" t="s">
        <v>248</v>
      </c>
      <c r="H78" t="s">
        <v>249</v>
      </c>
      <c r="I78" t="s">
        <v>15</v>
      </c>
      <c r="J78" t="s">
        <v>51</v>
      </c>
      <c r="K78">
        <f t="shared" si="1"/>
        <v>0</v>
      </c>
    </row>
    <row r="79" spans="1:11" x14ac:dyDescent="0.25">
      <c r="A79" t="s">
        <v>47</v>
      </c>
      <c r="B79" t="s">
        <v>250</v>
      </c>
      <c r="C79">
        <v>13</v>
      </c>
      <c r="D79" t="s">
        <v>12</v>
      </c>
      <c r="E79">
        <v>0</v>
      </c>
      <c r="F79">
        <v>1</v>
      </c>
      <c r="G79" t="s">
        <v>251</v>
      </c>
      <c r="H79" t="s">
        <v>252</v>
      </c>
      <c r="I79" t="s">
        <v>15</v>
      </c>
      <c r="J79" t="s">
        <v>51</v>
      </c>
      <c r="K79">
        <f t="shared" si="1"/>
        <v>0</v>
      </c>
    </row>
    <row r="80" spans="1:11" x14ac:dyDescent="0.25">
      <c r="A80" t="s">
        <v>56</v>
      </c>
      <c r="B80" t="s">
        <v>253</v>
      </c>
      <c r="C80">
        <v>10</v>
      </c>
      <c r="D80" t="s">
        <v>53</v>
      </c>
      <c r="E80">
        <v>1</v>
      </c>
      <c r="F80">
        <v>5</v>
      </c>
      <c r="G80" t="s">
        <v>254</v>
      </c>
      <c r="H80" t="s">
        <v>255</v>
      </c>
      <c r="I80" t="s">
        <v>51</v>
      </c>
      <c r="J80" t="s">
        <v>16</v>
      </c>
      <c r="K80">
        <f t="shared" si="1"/>
        <v>1</v>
      </c>
    </row>
    <row r="81" spans="1:11" x14ac:dyDescent="0.25">
      <c r="A81" t="s">
        <v>56</v>
      </c>
      <c r="B81" t="s">
        <v>256</v>
      </c>
      <c r="C81">
        <v>10</v>
      </c>
      <c r="D81" t="s">
        <v>53</v>
      </c>
      <c r="E81">
        <v>1</v>
      </c>
      <c r="F81">
        <v>4</v>
      </c>
      <c r="G81" t="s">
        <v>257</v>
      </c>
      <c r="H81" t="s">
        <v>258</v>
      </c>
      <c r="I81" t="s">
        <v>51</v>
      </c>
      <c r="J81" t="s">
        <v>16</v>
      </c>
      <c r="K81">
        <f t="shared" si="1"/>
        <v>1</v>
      </c>
    </row>
    <row r="82" spans="1:11" x14ac:dyDescent="0.25">
      <c r="A82" t="s">
        <v>56</v>
      </c>
      <c r="B82" t="s">
        <v>259</v>
      </c>
      <c r="C82">
        <v>15</v>
      </c>
      <c r="D82" t="s">
        <v>70</v>
      </c>
      <c r="E82">
        <v>1</v>
      </c>
      <c r="F82">
        <v>4</v>
      </c>
      <c r="G82" t="s">
        <v>260</v>
      </c>
      <c r="H82" t="s">
        <v>261</v>
      </c>
      <c r="I82" t="s">
        <v>51</v>
      </c>
      <c r="J82" t="s">
        <v>16</v>
      </c>
      <c r="K82">
        <f t="shared" si="1"/>
        <v>1</v>
      </c>
    </row>
    <row r="83" spans="1:11" x14ac:dyDescent="0.25">
      <c r="A83" t="s">
        <v>95</v>
      </c>
      <c r="B83" t="s">
        <v>262</v>
      </c>
      <c r="C83">
        <v>11</v>
      </c>
      <c r="D83" t="s">
        <v>70</v>
      </c>
      <c r="E83">
        <v>0</v>
      </c>
      <c r="F83" t="s">
        <v>67</v>
      </c>
      <c r="G83" t="s">
        <v>67</v>
      </c>
      <c r="H83" t="s">
        <v>67</v>
      </c>
      <c r="I83" t="s">
        <v>16</v>
      </c>
      <c r="J83" t="s">
        <v>16</v>
      </c>
      <c r="K83">
        <f t="shared" si="1"/>
        <v>0</v>
      </c>
    </row>
    <row r="84" spans="1:11" x14ac:dyDescent="0.25">
      <c r="A84" t="s">
        <v>47</v>
      </c>
      <c r="B84" t="s">
        <v>263</v>
      </c>
      <c r="C84">
        <v>12</v>
      </c>
      <c r="D84" t="s">
        <v>53</v>
      </c>
      <c r="E84">
        <v>0</v>
      </c>
      <c r="F84">
        <v>5</v>
      </c>
      <c r="G84" t="s">
        <v>264</v>
      </c>
      <c r="H84" t="s">
        <v>265</v>
      </c>
      <c r="I84" t="s">
        <v>15</v>
      </c>
      <c r="J84" t="s">
        <v>51</v>
      </c>
      <c r="K84">
        <f t="shared" si="1"/>
        <v>0</v>
      </c>
    </row>
    <row r="85" spans="1:11" x14ac:dyDescent="0.25">
      <c r="A85" t="s">
        <v>47</v>
      </c>
      <c r="B85" t="s">
        <v>266</v>
      </c>
      <c r="C85">
        <v>15</v>
      </c>
      <c r="D85" t="s">
        <v>53</v>
      </c>
      <c r="E85">
        <v>0</v>
      </c>
      <c r="F85">
        <v>5</v>
      </c>
      <c r="G85" t="s">
        <v>267</v>
      </c>
      <c r="H85" t="s">
        <v>268</v>
      </c>
      <c r="I85" t="s">
        <v>15</v>
      </c>
      <c r="J85" t="s">
        <v>51</v>
      </c>
      <c r="K85">
        <f t="shared" si="1"/>
        <v>0</v>
      </c>
    </row>
    <row r="86" spans="1:11" x14ac:dyDescent="0.25">
      <c r="A86" t="s">
        <v>56</v>
      </c>
      <c r="B86" t="s">
        <v>269</v>
      </c>
      <c r="C86">
        <v>6</v>
      </c>
      <c r="D86" t="s">
        <v>19</v>
      </c>
      <c r="E86">
        <v>0</v>
      </c>
      <c r="F86">
        <v>4</v>
      </c>
      <c r="G86" t="s">
        <v>270</v>
      </c>
      <c r="H86" t="s">
        <v>271</v>
      </c>
      <c r="I86" t="s">
        <v>51</v>
      </c>
      <c r="J86" t="s">
        <v>16</v>
      </c>
      <c r="K86">
        <f t="shared" si="1"/>
        <v>0</v>
      </c>
    </row>
    <row r="87" spans="1:11" x14ac:dyDescent="0.25">
      <c r="A87" t="s">
        <v>10</v>
      </c>
      <c r="B87" t="s">
        <v>272</v>
      </c>
      <c r="C87">
        <v>14</v>
      </c>
      <c r="D87" t="s">
        <v>24</v>
      </c>
      <c r="E87">
        <v>0</v>
      </c>
      <c r="F87">
        <v>5</v>
      </c>
      <c r="G87" t="s">
        <v>273</v>
      </c>
      <c r="H87" t="s">
        <v>274</v>
      </c>
      <c r="I87" t="s">
        <v>15</v>
      </c>
      <c r="J87" t="s">
        <v>16</v>
      </c>
      <c r="K87">
        <f t="shared" si="1"/>
        <v>0</v>
      </c>
    </row>
    <row r="88" spans="1:11" x14ac:dyDescent="0.25">
      <c r="A88" t="s">
        <v>10</v>
      </c>
      <c r="B88" t="s">
        <v>275</v>
      </c>
      <c r="C88">
        <v>11</v>
      </c>
      <c r="D88" t="s">
        <v>19</v>
      </c>
      <c r="E88">
        <v>0</v>
      </c>
      <c r="F88">
        <v>4</v>
      </c>
      <c r="G88" t="s">
        <v>276</v>
      </c>
      <c r="H88" t="s">
        <v>277</v>
      </c>
      <c r="I88" t="s">
        <v>15</v>
      </c>
      <c r="J88" t="s">
        <v>16</v>
      </c>
      <c r="K88">
        <f t="shared" si="1"/>
        <v>0</v>
      </c>
    </row>
    <row r="89" spans="1:11" x14ac:dyDescent="0.25">
      <c r="A89" t="s">
        <v>22</v>
      </c>
      <c r="B89" t="s">
        <v>278</v>
      </c>
      <c r="C89">
        <v>14</v>
      </c>
      <c r="D89" t="s">
        <v>24</v>
      </c>
      <c r="E89">
        <v>0</v>
      </c>
      <c r="F89">
        <v>5</v>
      </c>
      <c r="G89" t="s">
        <v>279</v>
      </c>
      <c r="H89" t="s">
        <v>280</v>
      </c>
      <c r="I89" t="s">
        <v>16</v>
      </c>
      <c r="J89" t="s">
        <v>16</v>
      </c>
      <c r="K89">
        <f t="shared" si="1"/>
        <v>0</v>
      </c>
    </row>
    <row r="90" spans="1:11" x14ac:dyDescent="0.25">
      <c r="A90" t="s">
        <v>22</v>
      </c>
      <c r="B90" t="s">
        <v>281</v>
      </c>
      <c r="C90">
        <v>13</v>
      </c>
      <c r="D90" t="s">
        <v>19</v>
      </c>
      <c r="E90">
        <v>0</v>
      </c>
      <c r="F90">
        <v>4</v>
      </c>
      <c r="G90" t="s">
        <v>282</v>
      </c>
      <c r="H90" t="s">
        <v>283</v>
      </c>
      <c r="I90" t="s">
        <v>16</v>
      </c>
      <c r="J90" t="s">
        <v>16</v>
      </c>
      <c r="K90">
        <f t="shared" si="1"/>
        <v>0</v>
      </c>
    </row>
    <row r="91" spans="1:11" x14ac:dyDescent="0.25">
      <c r="A91" t="s">
        <v>22</v>
      </c>
      <c r="B91" t="s">
        <v>284</v>
      </c>
      <c r="C91">
        <v>14</v>
      </c>
      <c r="D91" t="s">
        <v>24</v>
      </c>
      <c r="E91">
        <v>0</v>
      </c>
      <c r="F91">
        <v>4</v>
      </c>
      <c r="G91" t="s">
        <v>285</v>
      </c>
      <c r="H91" t="s">
        <v>286</v>
      </c>
      <c r="I91" t="s">
        <v>16</v>
      </c>
      <c r="J91" t="s">
        <v>16</v>
      </c>
      <c r="K91">
        <f t="shared" si="1"/>
        <v>0</v>
      </c>
    </row>
    <row r="92" spans="1:11" x14ac:dyDescent="0.25">
      <c r="A92" t="s">
        <v>10</v>
      </c>
      <c r="B92" t="s">
        <v>287</v>
      </c>
      <c r="C92">
        <v>12</v>
      </c>
      <c r="D92" t="s">
        <v>19</v>
      </c>
      <c r="E92">
        <v>0</v>
      </c>
      <c r="F92">
        <v>4</v>
      </c>
      <c r="G92" t="s">
        <v>288</v>
      </c>
      <c r="H92" t="s">
        <v>289</v>
      </c>
      <c r="I92" t="s">
        <v>15</v>
      </c>
      <c r="J92" t="s">
        <v>16</v>
      </c>
      <c r="K92">
        <f t="shared" si="1"/>
        <v>0</v>
      </c>
    </row>
    <row r="93" spans="1:11" x14ac:dyDescent="0.25">
      <c r="A93" t="s">
        <v>47</v>
      </c>
      <c r="B93" t="s">
        <v>290</v>
      </c>
      <c r="C93">
        <v>12</v>
      </c>
      <c r="D93" t="s">
        <v>24</v>
      </c>
      <c r="E93">
        <v>1</v>
      </c>
      <c r="F93" t="s">
        <v>67</v>
      </c>
      <c r="G93" t="s">
        <v>67</v>
      </c>
      <c r="H93" t="s">
        <v>67</v>
      </c>
      <c r="I93" t="s">
        <v>15</v>
      </c>
      <c r="J93" t="s">
        <v>51</v>
      </c>
      <c r="K93">
        <f t="shared" si="1"/>
        <v>1</v>
      </c>
    </row>
    <row r="94" spans="1:11" x14ac:dyDescent="0.25">
      <c r="A94" t="s">
        <v>47</v>
      </c>
      <c r="B94" t="s">
        <v>291</v>
      </c>
      <c r="C94">
        <v>11</v>
      </c>
      <c r="D94" t="s">
        <v>70</v>
      </c>
      <c r="E94">
        <v>0</v>
      </c>
      <c r="F94">
        <v>3</v>
      </c>
      <c r="G94" t="s">
        <v>292</v>
      </c>
      <c r="H94" t="s">
        <v>293</v>
      </c>
      <c r="I94" t="s">
        <v>15</v>
      </c>
      <c r="J94" t="s">
        <v>51</v>
      </c>
      <c r="K94">
        <f t="shared" si="1"/>
        <v>0</v>
      </c>
    </row>
    <row r="95" spans="1:11" x14ac:dyDescent="0.25">
      <c r="A95" t="s">
        <v>10</v>
      </c>
      <c r="B95" t="s">
        <v>294</v>
      </c>
      <c r="C95">
        <v>12</v>
      </c>
      <c r="D95" t="s">
        <v>24</v>
      </c>
      <c r="E95">
        <v>0</v>
      </c>
      <c r="F95">
        <v>4</v>
      </c>
      <c r="G95" t="s">
        <v>295</v>
      </c>
      <c r="H95" t="s">
        <v>296</v>
      </c>
      <c r="I95" t="s">
        <v>15</v>
      </c>
      <c r="J95" t="s">
        <v>16</v>
      </c>
      <c r="K95">
        <f t="shared" si="1"/>
        <v>0</v>
      </c>
    </row>
    <row r="96" spans="1:11" x14ac:dyDescent="0.25">
      <c r="A96" t="s">
        <v>56</v>
      </c>
      <c r="B96" t="s">
        <v>297</v>
      </c>
      <c r="C96">
        <v>13</v>
      </c>
      <c r="D96" t="s">
        <v>53</v>
      </c>
      <c r="E96">
        <v>0</v>
      </c>
      <c r="F96" t="s">
        <v>67</v>
      </c>
      <c r="G96" t="s">
        <v>67</v>
      </c>
      <c r="H96" t="s">
        <v>67</v>
      </c>
      <c r="I96" t="s">
        <v>51</v>
      </c>
      <c r="J96" t="s">
        <v>16</v>
      </c>
      <c r="K96">
        <f t="shared" si="1"/>
        <v>0</v>
      </c>
    </row>
    <row r="97" spans="1:11" x14ac:dyDescent="0.25">
      <c r="A97" t="s">
        <v>22</v>
      </c>
      <c r="B97" t="s">
        <v>298</v>
      </c>
      <c r="C97">
        <v>14</v>
      </c>
      <c r="D97" t="s">
        <v>12</v>
      </c>
      <c r="E97">
        <v>0</v>
      </c>
      <c r="F97">
        <v>4</v>
      </c>
      <c r="G97" t="s">
        <v>299</v>
      </c>
      <c r="H97" t="s">
        <v>547</v>
      </c>
      <c r="I97" t="s">
        <v>16</v>
      </c>
      <c r="J97" t="s">
        <v>16</v>
      </c>
      <c r="K97">
        <f t="shared" si="1"/>
        <v>0</v>
      </c>
    </row>
    <row r="98" spans="1:11" x14ac:dyDescent="0.25">
      <c r="A98" t="s">
        <v>22</v>
      </c>
      <c r="B98" t="s">
        <v>300</v>
      </c>
      <c r="C98">
        <v>3</v>
      </c>
      <c r="D98" t="s">
        <v>12</v>
      </c>
      <c r="E98">
        <v>0</v>
      </c>
      <c r="F98">
        <v>5</v>
      </c>
      <c r="G98" t="s">
        <v>301</v>
      </c>
      <c r="H98" t="s">
        <v>302</v>
      </c>
      <c r="I98" t="s">
        <v>16</v>
      </c>
      <c r="J98" t="s">
        <v>16</v>
      </c>
      <c r="K98">
        <f t="shared" si="1"/>
        <v>0</v>
      </c>
    </row>
    <row r="99" spans="1:11" x14ac:dyDescent="0.25">
      <c r="A99" t="s">
        <v>10</v>
      </c>
      <c r="B99" t="s">
        <v>303</v>
      </c>
      <c r="C99">
        <v>12</v>
      </c>
      <c r="D99" t="s">
        <v>24</v>
      </c>
      <c r="E99">
        <v>0</v>
      </c>
      <c r="F99">
        <v>5</v>
      </c>
      <c r="G99" t="s">
        <v>304</v>
      </c>
      <c r="H99" t="s">
        <v>305</v>
      </c>
      <c r="I99" t="s">
        <v>15</v>
      </c>
      <c r="J99" t="s">
        <v>16</v>
      </c>
      <c r="K99">
        <f t="shared" si="1"/>
        <v>0</v>
      </c>
    </row>
    <row r="100" spans="1:11" x14ac:dyDescent="0.25">
      <c r="A100" t="s">
        <v>56</v>
      </c>
      <c r="B100" t="s">
        <v>306</v>
      </c>
      <c r="C100">
        <v>14</v>
      </c>
      <c r="D100" t="s">
        <v>24</v>
      </c>
      <c r="E100">
        <v>0</v>
      </c>
      <c r="F100">
        <v>4</v>
      </c>
      <c r="G100" t="s">
        <v>307</v>
      </c>
      <c r="H100" t="s">
        <v>308</v>
      </c>
      <c r="I100" t="s">
        <v>51</v>
      </c>
      <c r="J100" t="s">
        <v>16</v>
      </c>
      <c r="K100">
        <f t="shared" si="1"/>
        <v>0</v>
      </c>
    </row>
    <row r="101" spans="1:11" x14ac:dyDescent="0.25">
      <c r="A101" t="s">
        <v>56</v>
      </c>
      <c r="B101" t="s">
        <v>309</v>
      </c>
      <c r="C101">
        <v>14</v>
      </c>
      <c r="D101" t="s">
        <v>19</v>
      </c>
      <c r="E101">
        <v>0</v>
      </c>
      <c r="F101">
        <v>5</v>
      </c>
      <c r="G101" t="s">
        <v>310</v>
      </c>
      <c r="H101" t="s">
        <v>311</v>
      </c>
      <c r="I101" t="s">
        <v>51</v>
      </c>
      <c r="J101" t="s">
        <v>16</v>
      </c>
      <c r="K101">
        <f t="shared" si="1"/>
        <v>0</v>
      </c>
    </row>
    <row r="102" spans="1:11" x14ac:dyDescent="0.25">
      <c r="A102" t="s">
        <v>17</v>
      </c>
      <c r="B102" t="s">
        <v>312</v>
      </c>
      <c r="C102">
        <v>6</v>
      </c>
      <c r="D102" t="s">
        <v>53</v>
      </c>
      <c r="E102">
        <v>1</v>
      </c>
      <c r="F102">
        <v>5</v>
      </c>
      <c r="G102" t="s">
        <v>313</v>
      </c>
      <c r="H102" t="s">
        <v>119</v>
      </c>
      <c r="I102" t="s">
        <v>16</v>
      </c>
      <c r="J102" t="s">
        <v>15</v>
      </c>
      <c r="K102">
        <f t="shared" si="1"/>
        <v>1</v>
      </c>
    </row>
    <row r="103" spans="1:11" x14ac:dyDescent="0.25">
      <c r="A103" t="s">
        <v>22</v>
      </c>
      <c r="B103" t="s">
        <v>314</v>
      </c>
      <c r="C103">
        <v>15</v>
      </c>
      <c r="D103" t="s">
        <v>12</v>
      </c>
      <c r="E103">
        <v>0</v>
      </c>
      <c r="F103">
        <v>5</v>
      </c>
      <c r="G103" t="s">
        <v>315</v>
      </c>
      <c r="H103" t="s">
        <v>316</v>
      </c>
      <c r="I103" t="s">
        <v>16</v>
      </c>
      <c r="J103" t="s">
        <v>16</v>
      </c>
      <c r="K103">
        <f t="shared" si="1"/>
        <v>0</v>
      </c>
    </row>
    <row r="104" spans="1:11" x14ac:dyDescent="0.25">
      <c r="A104" t="s">
        <v>56</v>
      </c>
      <c r="B104" t="s">
        <v>317</v>
      </c>
      <c r="C104">
        <v>14</v>
      </c>
      <c r="D104" t="s">
        <v>53</v>
      </c>
      <c r="E104">
        <v>0</v>
      </c>
      <c r="F104">
        <v>5</v>
      </c>
      <c r="G104" t="s">
        <v>318</v>
      </c>
      <c r="H104" t="s">
        <v>319</v>
      </c>
      <c r="I104" t="s">
        <v>51</v>
      </c>
      <c r="J104" t="s">
        <v>16</v>
      </c>
      <c r="K104">
        <f t="shared" si="1"/>
        <v>0</v>
      </c>
    </row>
    <row r="105" spans="1:11" x14ac:dyDescent="0.25">
      <c r="A105" t="s">
        <v>47</v>
      </c>
      <c r="B105" t="s">
        <v>320</v>
      </c>
      <c r="C105">
        <v>12</v>
      </c>
      <c r="D105" t="s">
        <v>70</v>
      </c>
      <c r="E105">
        <v>1</v>
      </c>
      <c r="F105">
        <v>4</v>
      </c>
      <c r="G105" t="s">
        <v>321</v>
      </c>
      <c r="H105" t="s">
        <v>322</v>
      </c>
      <c r="I105" t="s">
        <v>15</v>
      </c>
      <c r="J105" t="s">
        <v>51</v>
      </c>
      <c r="K105">
        <f t="shared" si="1"/>
        <v>1</v>
      </c>
    </row>
    <row r="106" spans="1:11" x14ac:dyDescent="0.25">
      <c r="A106" t="s">
        <v>22</v>
      </c>
      <c r="B106" t="s">
        <v>323</v>
      </c>
      <c r="C106">
        <v>14</v>
      </c>
      <c r="D106" t="s">
        <v>19</v>
      </c>
      <c r="E106">
        <v>0</v>
      </c>
      <c r="F106">
        <v>5</v>
      </c>
      <c r="G106" t="s">
        <v>324</v>
      </c>
      <c r="H106" t="s">
        <v>325</v>
      </c>
      <c r="I106" t="s">
        <v>16</v>
      </c>
      <c r="J106" t="s">
        <v>16</v>
      </c>
      <c r="K106">
        <f t="shared" si="1"/>
        <v>0</v>
      </c>
    </row>
    <row r="107" spans="1:11" x14ac:dyDescent="0.25">
      <c r="A107" t="s">
        <v>47</v>
      </c>
      <c r="B107" t="s">
        <v>326</v>
      </c>
      <c r="C107">
        <v>9</v>
      </c>
      <c r="D107" t="s">
        <v>19</v>
      </c>
      <c r="E107">
        <v>1</v>
      </c>
      <c r="F107">
        <v>4</v>
      </c>
      <c r="G107" t="s">
        <v>327</v>
      </c>
      <c r="H107" t="s">
        <v>328</v>
      </c>
      <c r="I107" t="s">
        <v>15</v>
      </c>
      <c r="J107" t="s">
        <v>51</v>
      </c>
      <c r="K107">
        <f t="shared" si="1"/>
        <v>1</v>
      </c>
    </row>
    <row r="108" spans="1:11" x14ac:dyDescent="0.25">
      <c r="A108" t="s">
        <v>47</v>
      </c>
      <c r="B108" t="s">
        <v>329</v>
      </c>
      <c r="C108">
        <v>4</v>
      </c>
      <c r="D108" t="s">
        <v>12</v>
      </c>
      <c r="E108">
        <v>0</v>
      </c>
      <c r="F108">
        <v>3</v>
      </c>
      <c r="G108" t="s">
        <v>330</v>
      </c>
      <c r="H108" t="s">
        <v>331</v>
      </c>
      <c r="I108" t="s">
        <v>15</v>
      </c>
      <c r="J108" t="s">
        <v>51</v>
      </c>
      <c r="K108">
        <f t="shared" si="1"/>
        <v>0</v>
      </c>
    </row>
    <row r="109" spans="1:11" x14ac:dyDescent="0.25">
      <c r="A109" t="s">
        <v>10</v>
      </c>
      <c r="B109" t="s">
        <v>332</v>
      </c>
      <c r="C109">
        <v>13</v>
      </c>
      <c r="D109" t="s">
        <v>53</v>
      </c>
      <c r="E109">
        <v>1</v>
      </c>
      <c r="F109">
        <v>5</v>
      </c>
      <c r="G109" t="s">
        <v>333</v>
      </c>
      <c r="H109" t="s">
        <v>334</v>
      </c>
      <c r="I109" t="s">
        <v>15</v>
      </c>
      <c r="J109" t="s">
        <v>16</v>
      </c>
      <c r="K109">
        <f t="shared" si="1"/>
        <v>1</v>
      </c>
    </row>
    <row r="110" spans="1:11" x14ac:dyDescent="0.25">
      <c r="A110" t="s">
        <v>56</v>
      </c>
      <c r="B110" t="s">
        <v>335</v>
      </c>
      <c r="C110">
        <v>15</v>
      </c>
      <c r="D110" t="s">
        <v>53</v>
      </c>
      <c r="E110">
        <v>0</v>
      </c>
      <c r="F110">
        <v>5</v>
      </c>
      <c r="G110" t="s">
        <v>336</v>
      </c>
      <c r="H110" t="s">
        <v>337</v>
      </c>
      <c r="I110" t="s">
        <v>51</v>
      </c>
      <c r="J110" t="s">
        <v>16</v>
      </c>
      <c r="K110">
        <f t="shared" si="1"/>
        <v>0</v>
      </c>
    </row>
    <row r="111" spans="1:11" x14ac:dyDescent="0.25">
      <c r="A111" t="s">
        <v>47</v>
      </c>
      <c r="B111" t="s">
        <v>338</v>
      </c>
      <c r="C111">
        <v>13</v>
      </c>
      <c r="D111" t="s">
        <v>53</v>
      </c>
      <c r="E111">
        <v>0</v>
      </c>
      <c r="F111">
        <v>4</v>
      </c>
      <c r="G111" t="s">
        <v>339</v>
      </c>
      <c r="H111" t="s">
        <v>340</v>
      </c>
      <c r="I111" t="s">
        <v>15</v>
      </c>
      <c r="J111" t="s">
        <v>51</v>
      </c>
      <c r="K111">
        <f t="shared" si="1"/>
        <v>0</v>
      </c>
    </row>
    <row r="112" spans="1:11" x14ac:dyDescent="0.25">
      <c r="A112" t="s">
        <v>10</v>
      </c>
      <c r="B112" t="s">
        <v>341</v>
      </c>
      <c r="C112">
        <v>15</v>
      </c>
      <c r="D112" t="s">
        <v>24</v>
      </c>
      <c r="E112">
        <v>0</v>
      </c>
      <c r="F112">
        <v>4</v>
      </c>
      <c r="G112" t="s">
        <v>342</v>
      </c>
      <c r="H112" t="s">
        <v>343</v>
      </c>
      <c r="I112" t="s">
        <v>15</v>
      </c>
      <c r="J112" t="s">
        <v>16</v>
      </c>
      <c r="K112">
        <f t="shared" si="1"/>
        <v>0</v>
      </c>
    </row>
    <row r="113" spans="1:11" x14ac:dyDescent="0.25">
      <c r="A113" t="s">
        <v>17</v>
      </c>
      <c r="B113" t="s">
        <v>344</v>
      </c>
      <c r="C113">
        <v>8</v>
      </c>
      <c r="D113" t="s">
        <v>70</v>
      </c>
      <c r="E113">
        <v>0</v>
      </c>
      <c r="F113">
        <v>4</v>
      </c>
      <c r="G113" t="s">
        <v>345</v>
      </c>
      <c r="H113" t="s">
        <v>346</v>
      </c>
      <c r="I113" t="s">
        <v>16</v>
      </c>
      <c r="J113" t="s">
        <v>15</v>
      </c>
      <c r="K113">
        <f t="shared" si="1"/>
        <v>0</v>
      </c>
    </row>
    <row r="114" spans="1:11" x14ac:dyDescent="0.25">
      <c r="A114" t="s">
        <v>47</v>
      </c>
      <c r="B114" t="s">
        <v>347</v>
      </c>
      <c r="C114">
        <v>10</v>
      </c>
      <c r="D114" t="s">
        <v>12</v>
      </c>
      <c r="E114">
        <v>0</v>
      </c>
      <c r="F114">
        <v>4</v>
      </c>
      <c r="G114" t="s">
        <v>348</v>
      </c>
      <c r="H114" t="s">
        <v>349</v>
      </c>
      <c r="I114" t="s">
        <v>15</v>
      </c>
      <c r="J114" t="s">
        <v>51</v>
      </c>
      <c r="K114">
        <f t="shared" si="1"/>
        <v>0</v>
      </c>
    </row>
    <row r="115" spans="1:11" x14ac:dyDescent="0.25">
      <c r="A115" t="s">
        <v>56</v>
      </c>
      <c r="B115" t="s">
        <v>350</v>
      </c>
      <c r="C115">
        <v>15</v>
      </c>
      <c r="D115" t="s">
        <v>24</v>
      </c>
      <c r="E115">
        <v>0</v>
      </c>
      <c r="F115">
        <v>5</v>
      </c>
      <c r="G115" t="s">
        <v>351</v>
      </c>
      <c r="H115" t="s">
        <v>352</v>
      </c>
      <c r="I115" t="s">
        <v>51</v>
      </c>
      <c r="J115" t="s">
        <v>16</v>
      </c>
      <c r="K115">
        <f t="shared" si="1"/>
        <v>0</v>
      </c>
    </row>
    <row r="116" spans="1:11" x14ac:dyDescent="0.25">
      <c r="A116" t="s">
        <v>22</v>
      </c>
      <c r="B116" t="s">
        <v>353</v>
      </c>
      <c r="C116">
        <v>14</v>
      </c>
      <c r="D116" t="s">
        <v>12</v>
      </c>
      <c r="E116">
        <v>0</v>
      </c>
      <c r="F116">
        <v>5</v>
      </c>
      <c r="G116" t="s">
        <v>354</v>
      </c>
      <c r="H116" t="s">
        <v>355</v>
      </c>
      <c r="I116" t="s">
        <v>16</v>
      </c>
      <c r="J116" t="s">
        <v>16</v>
      </c>
      <c r="K116">
        <f t="shared" si="1"/>
        <v>0</v>
      </c>
    </row>
    <row r="117" spans="1:11" x14ac:dyDescent="0.25">
      <c r="A117" t="s">
        <v>17</v>
      </c>
      <c r="B117" t="s">
        <v>356</v>
      </c>
      <c r="C117">
        <v>14</v>
      </c>
      <c r="D117" t="s">
        <v>70</v>
      </c>
      <c r="E117">
        <v>0</v>
      </c>
      <c r="F117">
        <v>5</v>
      </c>
      <c r="G117" t="s">
        <v>357</v>
      </c>
      <c r="H117" t="s">
        <v>358</v>
      </c>
      <c r="I117" t="s">
        <v>16</v>
      </c>
      <c r="J117" t="s">
        <v>15</v>
      </c>
      <c r="K117">
        <f t="shared" si="1"/>
        <v>0</v>
      </c>
    </row>
    <row r="118" spans="1:11" x14ac:dyDescent="0.25">
      <c r="A118" t="s">
        <v>10</v>
      </c>
      <c r="B118" t="s">
        <v>359</v>
      </c>
      <c r="C118">
        <v>15</v>
      </c>
      <c r="D118" t="s">
        <v>19</v>
      </c>
      <c r="E118">
        <v>0</v>
      </c>
      <c r="F118">
        <v>4</v>
      </c>
      <c r="G118" t="s">
        <v>360</v>
      </c>
      <c r="H118" t="s">
        <v>361</v>
      </c>
      <c r="I118" t="s">
        <v>15</v>
      </c>
      <c r="J118" t="s">
        <v>16</v>
      </c>
      <c r="K118">
        <f t="shared" si="1"/>
        <v>0</v>
      </c>
    </row>
    <row r="119" spans="1:11" x14ac:dyDescent="0.25">
      <c r="A119" t="s">
        <v>10</v>
      </c>
      <c r="B119" t="s">
        <v>362</v>
      </c>
      <c r="C119">
        <v>14</v>
      </c>
      <c r="D119" t="s">
        <v>70</v>
      </c>
      <c r="E119">
        <v>0</v>
      </c>
      <c r="F119">
        <v>5</v>
      </c>
      <c r="G119" t="s">
        <v>363</v>
      </c>
      <c r="H119" t="s">
        <v>364</v>
      </c>
      <c r="I119" t="s">
        <v>15</v>
      </c>
      <c r="J119" t="s">
        <v>16</v>
      </c>
      <c r="K119">
        <f t="shared" si="1"/>
        <v>0</v>
      </c>
    </row>
    <row r="120" spans="1:11" x14ac:dyDescent="0.25">
      <c r="A120" t="s">
        <v>47</v>
      </c>
      <c r="B120" t="s">
        <v>365</v>
      </c>
      <c r="C120">
        <v>13</v>
      </c>
      <c r="D120" t="s">
        <v>53</v>
      </c>
      <c r="E120">
        <v>0</v>
      </c>
      <c r="F120">
        <v>5</v>
      </c>
      <c r="G120" t="s">
        <v>366</v>
      </c>
      <c r="H120" t="s">
        <v>367</v>
      </c>
      <c r="I120" t="s">
        <v>15</v>
      </c>
      <c r="J120" t="s">
        <v>51</v>
      </c>
      <c r="K120">
        <f t="shared" si="1"/>
        <v>0</v>
      </c>
    </row>
    <row r="121" spans="1:11" x14ac:dyDescent="0.25">
      <c r="A121" t="s">
        <v>22</v>
      </c>
      <c r="B121" t="s">
        <v>368</v>
      </c>
      <c r="C121">
        <v>8</v>
      </c>
      <c r="D121" t="s">
        <v>12</v>
      </c>
      <c r="E121">
        <v>0</v>
      </c>
      <c r="F121" t="s">
        <v>67</v>
      </c>
      <c r="G121" t="s">
        <v>67</v>
      </c>
      <c r="H121" t="s">
        <v>67</v>
      </c>
      <c r="I121" t="s">
        <v>16</v>
      </c>
      <c r="J121" t="s">
        <v>16</v>
      </c>
      <c r="K121">
        <f t="shared" si="1"/>
        <v>0</v>
      </c>
    </row>
    <row r="122" spans="1:11" x14ac:dyDescent="0.25">
      <c r="A122" t="s">
        <v>56</v>
      </c>
      <c r="B122" t="s">
        <v>369</v>
      </c>
      <c r="C122">
        <v>14</v>
      </c>
      <c r="D122" t="s">
        <v>70</v>
      </c>
      <c r="E122">
        <v>0</v>
      </c>
      <c r="F122" t="s">
        <v>67</v>
      </c>
      <c r="G122" t="s">
        <v>67</v>
      </c>
      <c r="H122" t="s">
        <v>67</v>
      </c>
      <c r="I122" t="s">
        <v>51</v>
      </c>
      <c r="J122" t="s">
        <v>16</v>
      </c>
      <c r="K122">
        <f t="shared" si="1"/>
        <v>0</v>
      </c>
    </row>
    <row r="123" spans="1:11" x14ac:dyDescent="0.25">
      <c r="A123" t="s">
        <v>22</v>
      </c>
      <c r="B123" t="s">
        <v>370</v>
      </c>
      <c r="C123">
        <v>14</v>
      </c>
      <c r="D123" t="s">
        <v>53</v>
      </c>
      <c r="E123">
        <v>0</v>
      </c>
      <c r="F123">
        <v>4</v>
      </c>
      <c r="G123" t="s">
        <v>371</v>
      </c>
      <c r="H123" t="s">
        <v>372</v>
      </c>
      <c r="I123" t="s">
        <v>16</v>
      </c>
      <c r="J123" t="s">
        <v>16</v>
      </c>
      <c r="K123">
        <f t="shared" si="1"/>
        <v>0</v>
      </c>
    </row>
    <row r="124" spans="1:11" x14ac:dyDescent="0.25">
      <c r="A124" t="s">
        <v>22</v>
      </c>
      <c r="B124" t="s">
        <v>373</v>
      </c>
      <c r="C124">
        <v>15</v>
      </c>
      <c r="D124" t="s">
        <v>12</v>
      </c>
      <c r="E124">
        <v>0</v>
      </c>
      <c r="F124">
        <v>4</v>
      </c>
      <c r="G124" t="s">
        <v>374</v>
      </c>
      <c r="H124" t="s">
        <v>375</v>
      </c>
      <c r="I124" t="s">
        <v>16</v>
      </c>
      <c r="J124" t="s">
        <v>16</v>
      </c>
      <c r="K124">
        <f t="shared" si="1"/>
        <v>0</v>
      </c>
    </row>
    <row r="125" spans="1:11" x14ac:dyDescent="0.25">
      <c r="A125" t="s">
        <v>56</v>
      </c>
      <c r="B125" t="s">
        <v>376</v>
      </c>
      <c r="C125">
        <v>7</v>
      </c>
      <c r="D125" t="s">
        <v>53</v>
      </c>
      <c r="E125">
        <v>0</v>
      </c>
      <c r="F125">
        <v>5</v>
      </c>
      <c r="G125" t="s">
        <v>377</v>
      </c>
      <c r="H125" t="s">
        <v>378</v>
      </c>
      <c r="I125" t="s">
        <v>51</v>
      </c>
      <c r="J125" t="s">
        <v>16</v>
      </c>
      <c r="K125">
        <f t="shared" si="1"/>
        <v>0</v>
      </c>
    </row>
    <row r="126" spans="1:11" x14ac:dyDescent="0.25">
      <c r="A126" t="s">
        <v>47</v>
      </c>
      <c r="B126" t="s">
        <v>379</v>
      </c>
      <c r="C126">
        <v>12</v>
      </c>
      <c r="D126" t="s">
        <v>19</v>
      </c>
      <c r="E126">
        <v>0</v>
      </c>
      <c r="F126">
        <v>4</v>
      </c>
      <c r="G126" t="s">
        <v>380</v>
      </c>
      <c r="H126" t="s">
        <v>381</v>
      </c>
      <c r="I126" t="s">
        <v>15</v>
      </c>
      <c r="J126" t="s">
        <v>51</v>
      </c>
      <c r="K126">
        <f t="shared" si="1"/>
        <v>0</v>
      </c>
    </row>
    <row r="127" spans="1:11" x14ac:dyDescent="0.25">
      <c r="A127" t="s">
        <v>47</v>
      </c>
      <c r="B127" t="s">
        <v>382</v>
      </c>
      <c r="C127">
        <v>12</v>
      </c>
      <c r="D127" t="s">
        <v>24</v>
      </c>
      <c r="E127">
        <v>0</v>
      </c>
      <c r="F127">
        <v>4</v>
      </c>
      <c r="G127" t="s">
        <v>383</v>
      </c>
      <c r="H127" t="s">
        <v>384</v>
      </c>
      <c r="I127" t="s">
        <v>15</v>
      </c>
      <c r="J127" t="s">
        <v>51</v>
      </c>
      <c r="K127">
        <f t="shared" si="1"/>
        <v>0</v>
      </c>
    </row>
    <row r="128" spans="1:11" x14ac:dyDescent="0.25">
      <c r="A128" t="s">
        <v>22</v>
      </c>
      <c r="B128" t="s">
        <v>385</v>
      </c>
      <c r="C128">
        <v>11</v>
      </c>
      <c r="D128" t="s">
        <v>24</v>
      </c>
      <c r="E128">
        <v>0</v>
      </c>
      <c r="F128">
        <v>4</v>
      </c>
      <c r="G128" t="s">
        <v>386</v>
      </c>
      <c r="H128" t="s">
        <v>387</v>
      </c>
      <c r="I128" t="s">
        <v>16</v>
      </c>
      <c r="J128" t="s">
        <v>16</v>
      </c>
      <c r="K128">
        <f t="shared" si="1"/>
        <v>0</v>
      </c>
    </row>
    <row r="129" spans="1:11" x14ac:dyDescent="0.25">
      <c r="A129" t="s">
        <v>22</v>
      </c>
      <c r="B129" t="s">
        <v>388</v>
      </c>
      <c r="C129">
        <v>12</v>
      </c>
      <c r="D129" t="s">
        <v>24</v>
      </c>
      <c r="E129">
        <v>0</v>
      </c>
      <c r="F129">
        <v>5</v>
      </c>
      <c r="G129" t="s">
        <v>389</v>
      </c>
      <c r="H129" t="s">
        <v>390</v>
      </c>
      <c r="I129" t="s">
        <v>16</v>
      </c>
      <c r="J129" t="s">
        <v>16</v>
      </c>
      <c r="K129">
        <f t="shared" si="1"/>
        <v>0</v>
      </c>
    </row>
    <row r="130" spans="1:11" x14ac:dyDescent="0.25">
      <c r="A130" t="s">
        <v>56</v>
      </c>
      <c r="B130" t="s">
        <v>391</v>
      </c>
      <c r="C130">
        <v>12</v>
      </c>
      <c r="D130" t="s">
        <v>12</v>
      </c>
      <c r="E130">
        <v>1</v>
      </c>
      <c r="F130">
        <v>5</v>
      </c>
      <c r="G130" t="s">
        <v>392</v>
      </c>
      <c r="H130" t="s">
        <v>393</v>
      </c>
      <c r="I130" t="s">
        <v>51</v>
      </c>
      <c r="J130" t="s">
        <v>16</v>
      </c>
      <c r="K130">
        <f t="shared" si="1"/>
        <v>1</v>
      </c>
    </row>
    <row r="131" spans="1:11" x14ac:dyDescent="0.25">
      <c r="A131" t="s">
        <v>10</v>
      </c>
      <c r="B131" t="s">
        <v>394</v>
      </c>
      <c r="C131">
        <v>5</v>
      </c>
      <c r="D131" t="s">
        <v>24</v>
      </c>
      <c r="E131">
        <v>0</v>
      </c>
      <c r="F131">
        <v>2</v>
      </c>
      <c r="G131" t="s">
        <v>395</v>
      </c>
      <c r="H131" t="s">
        <v>396</v>
      </c>
      <c r="I131" t="s">
        <v>15</v>
      </c>
      <c r="J131" t="s">
        <v>16</v>
      </c>
      <c r="K131">
        <f t="shared" ref="K131:K186" si="2">IF(E131&gt;0,1,0)</f>
        <v>0</v>
      </c>
    </row>
    <row r="132" spans="1:11" x14ac:dyDescent="0.25">
      <c r="A132" t="s">
        <v>47</v>
      </c>
      <c r="B132" t="s">
        <v>397</v>
      </c>
      <c r="C132">
        <v>15</v>
      </c>
      <c r="D132" t="s">
        <v>12</v>
      </c>
      <c r="E132">
        <v>0</v>
      </c>
      <c r="F132">
        <v>5</v>
      </c>
      <c r="G132" t="s">
        <v>398</v>
      </c>
      <c r="H132" t="s">
        <v>334</v>
      </c>
      <c r="I132" t="s">
        <v>15</v>
      </c>
      <c r="J132" t="s">
        <v>51</v>
      </c>
      <c r="K132">
        <f t="shared" si="2"/>
        <v>0</v>
      </c>
    </row>
    <row r="133" spans="1:11" x14ac:dyDescent="0.25">
      <c r="A133" t="s">
        <v>10</v>
      </c>
      <c r="B133" t="s">
        <v>399</v>
      </c>
      <c r="C133">
        <v>14</v>
      </c>
      <c r="D133" t="s">
        <v>19</v>
      </c>
      <c r="E133">
        <v>0</v>
      </c>
      <c r="F133">
        <v>5</v>
      </c>
      <c r="G133" t="s">
        <v>400</v>
      </c>
      <c r="H133" t="s">
        <v>401</v>
      </c>
      <c r="I133" t="s">
        <v>15</v>
      </c>
      <c r="J133" t="s">
        <v>16</v>
      </c>
      <c r="K133">
        <f t="shared" si="2"/>
        <v>0</v>
      </c>
    </row>
    <row r="134" spans="1:11" x14ac:dyDescent="0.25">
      <c r="A134" t="s">
        <v>10</v>
      </c>
      <c r="B134" t="s">
        <v>402</v>
      </c>
      <c r="C134">
        <v>13</v>
      </c>
      <c r="D134" t="s">
        <v>53</v>
      </c>
      <c r="E134">
        <v>0</v>
      </c>
      <c r="F134">
        <v>4</v>
      </c>
      <c r="G134" t="s">
        <v>403</v>
      </c>
      <c r="H134" t="s">
        <v>404</v>
      </c>
      <c r="I134" t="s">
        <v>15</v>
      </c>
      <c r="J134" t="s">
        <v>16</v>
      </c>
      <c r="K134">
        <f t="shared" si="2"/>
        <v>0</v>
      </c>
    </row>
    <row r="135" spans="1:11" x14ac:dyDescent="0.25">
      <c r="A135" t="s">
        <v>95</v>
      </c>
      <c r="B135" t="s">
        <v>405</v>
      </c>
      <c r="C135">
        <v>3</v>
      </c>
      <c r="D135" t="s">
        <v>12</v>
      </c>
      <c r="E135">
        <v>0</v>
      </c>
      <c r="F135">
        <v>3</v>
      </c>
      <c r="G135" t="s">
        <v>406</v>
      </c>
      <c r="H135" t="s">
        <v>407</v>
      </c>
      <c r="I135" t="s">
        <v>16</v>
      </c>
      <c r="J135" t="s">
        <v>16</v>
      </c>
      <c r="K135">
        <f t="shared" si="2"/>
        <v>0</v>
      </c>
    </row>
    <row r="136" spans="1:11" x14ac:dyDescent="0.25">
      <c r="A136" t="s">
        <v>10</v>
      </c>
      <c r="B136" t="s">
        <v>408</v>
      </c>
      <c r="C136">
        <v>15</v>
      </c>
      <c r="D136" t="s">
        <v>12</v>
      </c>
      <c r="E136">
        <v>0</v>
      </c>
      <c r="F136">
        <v>5</v>
      </c>
      <c r="G136" t="s">
        <v>409</v>
      </c>
      <c r="H136" t="s">
        <v>119</v>
      </c>
      <c r="I136" t="s">
        <v>15</v>
      </c>
      <c r="J136" t="s">
        <v>16</v>
      </c>
      <c r="K136">
        <f t="shared" si="2"/>
        <v>0</v>
      </c>
    </row>
    <row r="137" spans="1:11" x14ac:dyDescent="0.25">
      <c r="A137" t="s">
        <v>47</v>
      </c>
      <c r="B137" t="s">
        <v>410</v>
      </c>
      <c r="C137">
        <v>13</v>
      </c>
      <c r="D137" t="s">
        <v>12</v>
      </c>
      <c r="E137">
        <v>1</v>
      </c>
      <c r="F137" t="s">
        <v>67</v>
      </c>
      <c r="G137" t="s">
        <v>67</v>
      </c>
      <c r="H137" t="s">
        <v>67</v>
      </c>
      <c r="I137" t="s">
        <v>15</v>
      </c>
      <c r="J137" t="s">
        <v>51</v>
      </c>
      <c r="K137">
        <f t="shared" si="2"/>
        <v>1</v>
      </c>
    </row>
    <row r="138" spans="1:11" x14ac:dyDescent="0.25">
      <c r="A138" t="s">
        <v>10</v>
      </c>
      <c r="B138" t="s">
        <v>411</v>
      </c>
      <c r="C138">
        <v>15</v>
      </c>
      <c r="D138" t="s">
        <v>12</v>
      </c>
      <c r="E138">
        <v>0</v>
      </c>
      <c r="F138">
        <v>4</v>
      </c>
      <c r="G138" t="s">
        <v>412</v>
      </c>
      <c r="H138" t="s">
        <v>413</v>
      </c>
      <c r="I138" t="s">
        <v>15</v>
      </c>
      <c r="J138" t="s">
        <v>16</v>
      </c>
      <c r="K138">
        <f t="shared" si="2"/>
        <v>0</v>
      </c>
    </row>
    <row r="139" spans="1:11" x14ac:dyDescent="0.25">
      <c r="A139" t="s">
        <v>47</v>
      </c>
      <c r="B139" t="s">
        <v>414</v>
      </c>
      <c r="C139">
        <v>12</v>
      </c>
      <c r="D139" t="s">
        <v>53</v>
      </c>
      <c r="E139">
        <v>0</v>
      </c>
      <c r="F139">
        <v>5</v>
      </c>
      <c r="G139" t="s">
        <v>415</v>
      </c>
      <c r="H139" t="s">
        <v>122</v>
      </c>
      <c r="I139" t="s">
        <v>15</v>
      </c>
      <c r="J139" t="s">
        <v>51</v>
      </c>
      <c r="K139">
        <f t="shared" si="2"/>
        <v>0</v>
      </c>
    </row>
    <row r="140" spans="1:11" x14ac:dyDescent="0.25">
      <c r="A140" t="s">
        <v>47</v>
      </c>
      <c r="B140" t="s">
        <v>416</v>
      </c>
      <c r="C140">
        <v>12</v>
      </c>
      <c r="D140" t="s">
        <v>19</v>
      </c>
      <c r="E140">
        <v>0</v>
      </c>
      <c r="F140">
        <v>3</v>
      </c>
      <c r="G140" t="s">
        <v>417</v>
      </c>
      <c r="H140" t="s">
        <v>418</v>
      </c>
      <c r="I140" t="s">
        <v>15</v>
      </c>
      <c r="J140" t="s">
        <v>51</v>
      </c>
      <c r="K140">
        <f t="shared" si="2"/>
        <v>0</v>
      </c>
    </row>
    <row r="141" spans="1:11" x14ac:dyDescent="0.25">
      <c r="A141" t="s">
        <v>47</v>
      </c>
      <c r="B141" t="s">
        <v>419</v>
      </c>
      <c r="C141">
        <v>12</v>
      </c>
      <c r="D141" t="s">
        <v>24</v>
      </c>
      <c r="E141">
        <v>0</v>
      </c>
      <c r="F141">
        <v>5</v>
      </c>
      <c r="G141" t="s">
        <v>420</v>
      </c>
      <c r="H141" t="s">
        <v>421</v>
      </c>
      <c r="I141" t="s">
        <v>15</v>
      </c>
      <c r="J141" t="s">
        <v>51</v>
      </c>
      <c r="K141">
        <f t="shared" si="2"/>
        <v>0</v>
      </c>
    </row>
    <row r="142" spans="1:11" x14ac:dyDescent="0.25">
      <c r="A142" t="s">
        <v>17</v>
      </c>
      <c r="B142" t="s">
        <v>422</v>
      </c>
      <c r="C142">
        <v>6</v>
      </c>
      <c r="D142" t="s">
        <v>70</v>
      </c>
      <c r="E142">
        <v>1</v>
      </c>
      <c r="F142">
        <v>3</v>
      </c>
      <c r="G142" t="s">
        <v>423</v>
      </c>
      <c r="H142" t="s">
        <v>424</v>
      </c>
      <c r="I142" t="s">
        <v>16</v>
      </c>
      <c r="J142" t="s">
        <v>15</v>
      </c>
      <c r="K142">
        <f t="shared" si="2"/>
        <v>1</v>
      </c>
    </row>
    <row r="143" spans="1:11" x14ac:dyDescent="0.25">
      <c r="A143" t="s">
        <v>22</v>
      </c>
      <c r="B143" t="s">
        <v>425</v>
      </c>
      <c r="C143">
        <v>14</v>
      </c>
      <c r="D143" t="s">
        <v>19</v>
      </c>
      <c r="E143">
        <v>0</v>
      </c>
      <c r="F143">
        <v>4</v>
      </c>
      <c r="G143" t="s">
        <v>426</v>
      </c>
      <c r="H143" t="s">
        <v>427</v>
      </c>
      <c r="I143" t="s">
        <v>16</v>
      </c>
      <c r="J143" t="s">
        <v>16</v>
      </c>
      <c r="K143">
        <f t="shared" si="2"/>
        <v>0</v>
      </c>
    </row>
    <row r="144" spans="1:11" x14ac:dyDescent="0.25">
      <c r="A144" t="s">
        <v>47</v>
      </c>
      <c r="B144" t="s">
        <v>428</v>
      </c>
      <c r="C144">
        <v>14</v>
      </c>
      <c r="D144" t="s">
        <v>53</v>
      </c>
      <c r="E144">
        <v>0</v>
      </c>
      <c r="F144">
        <v>4</v>
      </c>
      <c r="G144" t="s">
        <v>392</v>
      </c>
      <c r="H144" t="s">
        <v>392</v>
      </c>
      <c r="I144" t="s">
        <v>15</v>
      </c>
      <c r="J144" t="s">
        <v>51</v>
      </c>
      <c r="K144">
        <f t="shared" si="2"/>
        <v>0</v>
      </c>
    </row>
    <row r="145" spans="1:11" x14ac:dyDescent="0.25">
      <c r="A145" t="s">
        <v>56</v>
      </c>
      <c r="B145" t="s">
        <v>429</v>
      </c>
      <c r="C145">
        <v>12</v>
      </c>
      <c r="D145" t="s">
        <v>19</v>
      </c>
      <c r="E145">
        <v>1</v>
      </c>
      <c r="F145">
        <v>4</v>
      </c>
      <c r="G145" t="s">
        <v>430</v>
      </c>
      <c r="H145" t="s">
        <v>431</v>
      </c>
      <c r="I145" t="s">
        <v>51</v>
      </c>
      <c r="J145" t="s">
        <v>16</v>
      </c>
      <c r="K145">
        <f t="shared" si="2"/>
        <v>1</v>
      </c>
    </row>
    <row r="146" spans="1:11" x14ac:dyDescent="0.25">
      <c r="A146" t="s">
        <v>10</v>
      </c>
      <c r="B146" t="s">
        <v>432</v>
      </c>
      <c r="C146">
        <v>5</v>
      </c>
      <c r="D146" t="s">
        <v>70</v>
      </c>
      <c r="E146">
        <v>1</v>
      </c>
      <c r="F146">
        <v>5</v>
      </c>
      <c r="G146" t="s">
        <v>433</v>
      </c>
      <c r="H146" t="s">
        <v>434</v>
      </c>
      <c r="I146" t="s">
        <v>15</v>
      </c>
      <c r="J146" t="s">
        <v>16</v>
      </c>
      <c r="K146">
        <f t="shared" si="2"/>
        <v>1</v>
      </c>
    </row>
    <row r="147" spans="1:11" x14ac:dyDescent="0.25">
      <c r="A147" t="s">
        <v>47</v>
      </c>
      <c r="B147" t="s">
        <v>74</v>
      </c>
      <c r="C147">
        <v>10</v>
      </c>
      <c r="D147" t="s">
        <v>12</v>
      </c>
      <c r="E147">
        <v>0</v>
      </c>
      <c r="F147">
        <v>5</v>
      </c>
      <c r="G147" t="s">
        <v>435</v>
      </c>
      <c r="H147" t="s">
        <v>436</v>
      </c>
      <c r="I147" t="s">
        <v>15</v>
      </c>
      <c r="J147" t="s">
        <v>51</v>
      </c>
      <c r="K147">
        <f t="shared" si="2"/>
        <v>0</v>
      </c>
    </row>
    <row r="148" spans="1:11" x14ac:dyDescent="0.25">
      <c r="A148" t="s">
        <v>10</v>
      </c>
      <c r="B148" t="s">
        <v>437</v>
      </c>
      <c r="C148">
        <v>15</v>
      </c>
      <c r="D148" t="s">
        <v>12</v>
      </c>
      <c r="E148">
        <v>0</v>
      </c>
      <c r="F148">
        <v>4</v>
      </c>
      <c r="G148" t="s">
        <v>438</v>
      </c>
      <c r="H148" t="s">
        <v>439</v>
      </c>
      <c r="I148" t="s">
        <v>15</v>
      </c>
      <c r="J148" t="s">
        <v>16</v>
      </c>
      <c r="K148">
        <f t="shared" si="2"/>
        <v>0</v>
      </c>
    </row>
    <row r="149" spans="1:11" x14ac:dyDescent="0.25">
      <c r="A149" t="s">
        <v>47</v>
      </c>
      <c r="B149" t="s">
        <v>440</v>
      </c>
      <c r="C149">
        <v>11</v>
      </c>
      <c r="D149" t="s">
        <v>70</v>
      </c>
      <c r="E149">
        <v>2</v>
      </c>
      <c r="F149">
        <v>5</v>
      </c>
      <c r="G149" t="s">
        <v>441</v>
      </c>
      <c r="H149" t="s">
        <v>442</v>
      </c>
      <c r="I149" t="s">
        <v>15</v>
      </c>
      <c r="J149" t="s">
        <v>51</v>
      </c>
      <c r="K149">
        <f t="shared" si="2"/>
        <v>1</v>
      </c>
    </row>
    <row r="150" spans="1:11" x14ac:dyDescent="0.25">
      <c r="A150" t="s">
        <v>22</v>
      </c>
      <c r="B150" t="s">
        <v>443</v>
      </c>
      <c r="C150">
        <v>6</v>
      </c>
      <c r="D150" t="s">
        <v>53</v>
      </c>
      <c r="E150">
        <v>0</v>
      </c>
      <c r="F150" t="s">
        <v>67</v>
      </c>
      <c r="G150" t="s">
        <v>67</v>
      </c>
      <c r="H150" t="s">
        <v>67</v>
      </c>
      <c r="I150" t="s">
        <v>16</v>
      </c>
      <c r="J150" t="s">
        <v>16</v>
      </c>
      <c r="K150">
        <f t="shared" si="2"/>
        <v>0</v>
      </c>
    </row>
    <row r="151" spans="1:11" x14ac:dyDescent="0.25">
      <c r="A151" t="s">
        <v>22</v>
      </c>
      <c r="B151" t="s">
        <v>444</v>
      </c>
      <c r="C151">
        <v>15</v>
      </c>
      <c r="D151" t="s">
        <v>12</v>
      </c>
      <c r="E151">
        <v>1</v>
      </c>
      <c r="F151">
        <v>3</v>
      </c>
      <c r="G151" t="s">
        <v>445</v>
      </c>
      <c r="H151" t="s">
        <v>446</v>
      </c>
      <c r="I151" t="s">
        <v>16</v>
      </c>
      <c r="J151" t="s">
        <v>16</v>
      </c>
      <c r="K151">
        <f t="shared" si="2"/>
        <v>1</v>
      </c>
    </row>
    <row r="152" spans="1:11" x14ac:dyDescent="0.25">
      <c r="A152" t="s">
        <v>10</v>
      </c>
      <c r="B152" t="s">
        <v>447</v>
      </c>
      <c r="C152">
        <v>15</v>
      </c>
      <c r="D152" t="s">
        <v>53</v>
      </c>
      <c r="E152">
        <v>0</v>
      </c>
      <c r="F152">
        <v>4</v>
      </c>
      <c r="G152" t="s">
        <v>448</v>
      </c>
      <c r="H152" t="s">
        <v>449</v>
      </c>
      <c r="I152" t="s">
        <v>15</v>
      </c>
      <c r="J152" t="s">
        <v>16</v>
      </c>
      <c r="K152">
        <f t="shared" si="2"/>
        <v>0</v>
      </c>
    </row>
    <row r="153" spans="1:11" x14ac:dyDescent="0.25">
      <c r="A153" t="s">
        <v>10</v>
      </c>
      <c r="B153" t="s">
        <v>450</v>
      </c>
      <c r="C153">
        <v>8</v>
      </c>
      <c r="D153" t="s">
        <v>19</v>
      </c>
      <c r="E153">
        <v>1</v>
      </c>
      <c r="F153">
        <v>5</v>
      </c>
      <c r="G153" t="s">
        <v>451</v>
      </c>
      <c r="H153" t="s">
        <v>452</v>
      </c>
      <c r="I153" t="s">
        <v>15</v>
      </c>
      <c r="J153" t="s">
        <v>16</v>
      </c>
      <c r="K153">
        <f t="shared" si="2"/>
        <v>1</v>
      </c>
    </row>
    <row r="154" spans="1:11" x14ac:dyDescent="0.25">
      <c r="A154" t="s">
        <v>56</v>
      </c>
      <c r="B154" t="s">
        <v>453</v>
      </c>
      <c r="C154">
        <v>6</v>
      </c>
      <c r="D154" t="s">
        <v>19</v>
      </c>
      <c r="E154">
        <v>1</v>
      </c>
      <c r="F154" t="s">
        <v>67</v>
      </c>
      <c r="G154" t="s">
        <v>67</v>
      </c>
      <c r="H154" t="s">
        <v>67</v>
      </c>
      <c r="I154" t="s">
        <v>51</v>
      </c>
      <c r="J154" t="s">
        <v>16</v>
      </c>
      <c r="K154">
        <f t="shared" si="2"/>
        <v>1</v>
      </c>
    </row>
    <row r="155" spans="1:11" x14ac:dyDescent="0.25">
      <c r="A155" t="s">
        <v>17</v>
      </c>
      <c r="B155" t="s">
        <v>454</v>
      </c>
      <c r="C155">
        <v>9</v>
      </c>
      <c r="D155" t="s">
        <v>70</v>
      </c>
      <c r="E155">
        <v>1</v>
      </c>
      <c r="F155">
        <v>4</v>
      </c>
      <c r="G155" t="s">
        <v>455</v>
      </c>
      <c r="H155" t="s">
        <v>119</v>
      </c>
      <c r="I155" t="s">
        <v>16</v>
      </c>
      <c r="J155" t="s">
        <v>15</v>
      </c>
      <c r="K155">
        <f t="shared" si="2"/>
        <v>1</v>
      </c>
    </row>
    <row r="156" spans="1:11" x14ac:dyDescent="0.25">
      <c r="A156" t="s">
        <v>47</v>
      </c>
      <c r="B156" t="s">
        <v>456</v>
      </c>
      <c r="C156">
        <v>10</v>
      </c>
      <c r="D156" t="s">
        <v>24</v>
      </c>
      <c r="E156">
        <v>0</v>
      </c>
      <c r="F156">
        <v>4</v>
      </c>
      <c r="G156" t="s">
        <v>457</v>
      </c>
      <c r="H156" t="s">
        <v>458</v>
      </c>
      <c r="I156" t="s">
        <v>15</v>
      </c>
      <c r="J156" t="s">
        <v>51</v>
      </c>
      <c r="K156">
        <f t="shared" si="2"/>
        <v>0</v>
      </c>
    </row>
    <row r="157" spans="1:11" x14ac:dyDescent="0.25">
      <c r="A157" t="s">
        <v>22</v>
      </c>
      <c r="B157" t="s">
        <v>459</v>
      </c>
      <c r="C157">
        <v>11</v>
      </c>
      <c r="D157" t="s">
        <v>24</v>
      </c>
      <c r="E157">
        <v>0</v>
      </c>
      <c r="F157">
        <v>3</v>
      </c>
      <c r="G157" t="s">
        <v>460</v>
      </c>
      <c r="H157" t="s">
        <v>461</v>
      </c>
      <c r="I157" t="s">
        <v>16</v>
      </c>
      <c r="J157" t="s">
        <v>16</v>
      </c>
      <c r="K157">
        <f t="shared" si="2"/>
        <v>0</v>
      </c>
    </row>
    <row r="158" spans="1:11" x14ac:dyDescent="0.25">
      <c r="A158" t="s">
        <v>22</v>
      </c>
      <c r="B158" t="s">
        <v>462</v>
      </c>
      <c r="C158">
        <v>12</v>
      </c>
      <c r="D158" t="s">
        <v>12</v>
      </c>
      <c r="E158">
        <v>1</v>
      </c>
      <c r="F158">
        <v>4</v>
      </c>
      <c r="G158" t="s">
        <v>463</v>
      </c>
      <c r="H158" t="s">
        <v>464</v>
      </c>
      <c r="I158" t="s">
        <v>16</v>
      </c>
      <c r="J158" t="s">
        <v>16</v>
      </c>
      <c r="K158">
        <f t="shared" si="2"/>
        <v>1</v>
      </c>
    </row>
    <row r="159" spans="1:11" x14ac:dyDescent="0.25">
      <c r="A159" t="s">
        <v>47</v>
      </c>
      <c r="B159" t="s">
        <v>465</v>
      </c>
      <c r="C159">
        <v>11</v>
      </c>
      <c r="D159" t="s">
        <v>24</v>
      </c>
      <c r="E159">
        <v>0</v>
      </c>
      <c r="F159">
        <v>3</v>
      </c>
      <c r="G159" t="s">
        <v>466</v>
      </c>
      <c r="H159" t="s">
        <v>467</v>
      </c>
      <c r="I159" t="s">
        <v>15</v>
      </c>
      <c r="J159" t="s">
        <v>51</v>
      </c>
      <c r="K159">
        <f t="shared" si="2"/>
        <v>0</v>
      </c>
    </row>
    <row r="160" spans="1:11" x14ac:dyDescent="0.25">
      <c r="A160" t="s">
        <v>10</v>
      </c>
      <c r="B160" t="s">
        <v>468</v>
      </c>
      <c r="C160">
        <v>14</v>
      </c>
      <c r="D160" t="s">
        <v>19</v>
      </c>
      <c r="E160">
        <v>0</v>
      </c>
      <c r="F160">
        <v>4</v>
      </c>
      <c r="G160" t="s">
        <v>469</v>
      </c>
      <c r="H160" t="s">
        <v>470</v>
      </c>
      <c r="I160" t="s">
        <v>15</v>
      </c>
      <c r="J160" t="s">
        <v>16</v>
      </c>
      <c r="K160">
        <f t="shared" si="2"/>
        <v>0</v>
      </c>
    </row>
    <row r="161" spans="1:11" x14ac:dyDescent="0.25">
      <c r="A161" t="s">
        <v>10</v>
      </c>
      <c r="B161" t="s">
        <v>471</v>
      </c>
      <c r="C161">
        <v>15</v>
      </c>
      <c r="D161" t="s">
        <v>53</v>
      </c>
      <c r="E161">
        <v>0</v>
      </c>
      <c r="F161">
        <v>4</v>
      </c>
      <c r="G161" t="s">
        <v>472</v>
      </c>
      <c r="H161" t="s">
        <v>274</v>
      </c>
      <c r="I161" t="s">
        <v>15</v>
      </c>
      <c r="J161" t="s">
        <v>16</v>
      </c>
      <c r="K161">
        <f t="shared" si="2"/>
        <v>0</v>
      </c>
    </row>
    <row r="162" spans="1:11" x14ac:dyDescent="0.25">
      <c r="A162" t="s">
        <v>10</v>
      </c>
      <c r="B162" t="s">
        <v>473</v>
      </c>
      <c r="C162">
        <v>7</v>
      </c>
      <c r="D162" t="s">
        <v>19</v>
      </c>
      <c r="E162">
        <v>1</v>
      </c>
      <c r="F162">
        <v>3</v>
      </c>
      <c r="G162" t="s">
        <v>474</v>
      </c>
      <c r="H162" t="s">
        <v>475</v>
      </c>
      <c r="I162" t="s">
        <v>15</v>
      </c>
      <c r="J162" t="s">
        <v>16</v>
      </c>
      <c r="K162">
        <f t="shared" si="2"/>
        <v>1</v>
      </c>
    </row>
    <row r="163" spans="1:11" x14ac:dyDescent="0.25">
      <c r="A163" t="s">
        <v>56</v>
      </c>
      <c r="B163" t="s">
        <v>476</v>
      </c>
      <c r="C163">
        <v>8</v>
      </c>
      <c r="D163" t="s">
        <v>12</v>
      </c>
      <c r="E163">
        <v>0</v>
      </c>
      <c r="F163">
        <v>3</v>
      </c>
      <c r="G163" t="s">
        <v>477</v>
      </c>
      <c r="H163" t="s">
        <v>478</v>
      </c>
      <c r="I163" t="s">
        <v>51</v>
      </c>
      <c r="J163" t="s">
        <v>16</v>
      </c>
      <c r="K163">
        <f t="shared" si="2"/>
        <v>0</v>
      </c>
    </row>
    <row r="164" spans="1:11" x14ac:dyDescent="0.25">
      <c r="A164" t="s">
        <v>47</v>
      </c>
      <c r="B164" t="s">
        <v>479</v>
      </c>
      <c r="C164">
        <v>4</v>
      </c>
      <c r="D164" t="s">
        <v>53</v>
      </c>
      <c r="E164">
        <v>0</v>
      </c>
      <c r="F164">
        <v>4</v>
      </c>
      <c r="G164" t="s">
        <v>480</v>
      </c>
      <c r="H164" t="s">
        <v>481</v>
      </c>
      <c r="I164" t="s">
        <v>15</v>
      </c>
      <c r="J164" t="s">
        <v>51</v>
      </c>
      <c r="K164">
        <f t="shared" si="2"/>
        <v>0</v>
      </c>
    </row>
    <row r="165" spans="1:11" x14ac:dyDescent="0.25">
      <c r="A165" t="s">
        <v>22</v>
      </c>
      <c r="B165" t="s">
        <v>482</v>
      </c>
      <c r="C165">
        <v>14</v>
      </c>
      <c r="D165" t="s">
        <v>70</v>
      </c>
      <c r="E165">
        <v>0</v>
      </c>
      <c r="F165">
        <v>5</v>
      </c>
      <c r="G165" t="s">
        <v>483</v>
      </c>
      <c r="H165" t="s">
        <v>484</v>
      </c>
      <c r="I165" t="s">
        <v>16</v>
      </c>
      <c r="J165" t="s">
        <v>16</v>
      </c>
      <c r="K165">
        <f t="shared" si="2"/>
        <v>0</v>
      </c>
    </row>
    <row r="166" spans="1:11" x14ac:dyDescent="0.25">
      <c r="A166" t="s">
        <v>17</v>
      </c>
      <c r="B166" t="s">
        <v>485</v>
      </c>
      <c r="C166">
        <v>7</v>
      </c>
      <c r="D166" t="s">
        <v>53</v>
      </c>
      <c r="E166">
        <v>1</v>
      </c>
      <c r="F166" t="s">
        <v>67</v>
      </c>
      <c r="G166" t="s">
        <v>68</v>
      </c>
      <c r="H166" t="s">
        <v>68</v>
      </c>
      <c r="I166" t="s">
        <v>16</v>
      </c>
      <c r="J166" t="s">
        <v>15</v>
      </c>
      <c r="K166">
        <f t="shared" si="2"/>
        <v>1</v>
      </c>
    </row>
    <row r="167" spans="1:11" x14ac:dyDescent="0.25">
      <c r="A167" t="s">
        <v>10</v>
      </c>
      <c r="B167" t="s">
        <v>486</v>
      </c>
      <c r="C167">
        <v>14</v>
      </c>
      <c r="D167" t="s">
        <v>53</v>
      </c>
      <c r="E167">
        <v>0</v>
      </c>
      <c r="F167">
        <v>5</v>
      </c>
      <c r="G167" t="s">
        <v>487</v>
      </c>
      <c r="H167" t="s">
        <v>488</v>
      </c>
      <c r="I167" t="s">
        <v>15</v>
      </c>
      <c r="J167" t="s">
        <v>16</v>
      </c>
      <c r="K167">
        <f t="shared" si="2"/>
        <v>0</v>
      </c>
    </row>
    <row r="168" spans="1:11" x14ac:dyDescent="0.25">
      <c r="A168" t="s">
        <v>56</v>
      </c>
      <c r="B168" t="s">
        <v>489</v>
      </c>
      <c r="C168">
        <v>14</v>
      </c>
      <c r="D168" t="s">
        <v>53</v>
      </c>
      <c r="E168">
        <v>0</v>
      </c>
      <c r="F168">
        <v>5</v>
      </c>
      <c r="G168" t="s">
        <v>490</v>
      </c>
      <c r="H168" t="s">
        <v>491</v>
      </c>
      <c r="I168" t="s">
        <v>51</v>
      </c>
      <c r="J168" t="s">
        <v>16</v>
      </c>
      <c r="K168">
        <f t="shared" si="2"/>
        <v>0</v>
      </c>
    </row>
    <row r="169" spans="1:11" x14ac:dyDescent="0.25">
      <c r="A169" t="s">
        <v>10</v>
      </c>
      <c r="B169" t="s">
        <v>492</v>
      </c>
      <c r="C169">
        <v>9</v>
      </c>
      <c r="D169" t="s">
        <v>12</v>
      </c>
      <c r="E169">
        <v>0</v>
      </c>
      <c r="F169">
        <v>5</v>
      </c>
      <c r="G169" t="s">
        <v>493</v>
      </c>
      <c r="H169" t="s">
        <v>494</v>
      </c>
      <c r="I169" t="s">
        <v>15</v>
      </c>
      <c r="J169" t="s">
        <v>16</v>
      </c>
      <c r="K169">
        <f t="shared" si="2"/>
        <v>0</v>
      </c>
    </row>
    <row r="170" spans="1:11" x14ac:dyDescent="0.25">
      <c r="A170" t="s">
        <v>17</v>
      </c>
      <c r="B170" t="s">
        <v>495</v>
      </c>
      <c r="C170">
        <v>4</v>
      </c>
      <c r="D170" t="s">
        <v>70</v>
      </c>
      <c r="E170">
        <v>0</v>
      </c>
      <c r="F170">
        <v>4</v>
      </c>
      <c r="G170" t="s">
        <v>496</v>
      </c>
      <c r="H170" t="s">
        <v>122</v>
      </c>
      <c r="I170" t="s">
        <v>16</v>
      </c>
      <c r="J170" t="s">
        <v>15</v>
      </c>
      <c r="K170">
        <f t="shared" si="2"/>
        <v>0</v>
      </c>
    </row>
    <row r="171" spans="1:11" x14ac:dyDescent="0.25">
      <c r="A171" t="s">
        <v>22</v>
      </c>
      <c r="B171" t="s">
        <v>497</v>
      </c>
      <c r="C171">
        <v>14</v>
      </c>
      <c r="D171" t="s">
        <v>24</v>
      </c>
      <c r="E171">
        <v>0</v>
      </c>
      <c r="F171">
        <v>5</v>
      </c>
      <c r="G171" t="s">
        <v>498</v>
      </c>
      <c r="H171" t="s">
        <v>499</v>
      </c>
      <c r="I171" t="s">
        <v>16</v>
      </c>
      <c r="J171" t="s">
        <v>16</v>
      </c>
      <c r="K171">
        <f t="shared" si="2"/>
        <v>0</v>
      </c>
    </row>
    <row r="172" spans="1:11" x14ac:dyDescent="0.25">
      <c r="A172" t="s">
        <v>10</v>
      </c>
      <c r="B172" t="s">
        <v>500</v>
      </c>
      <c r="C172">
        <v>14</v>
      </c>
      <c r="D172" t="s">
        <v>70</v>
      </c>
      <c r="E172">
        <v>0</v>
      </c>
      <c r="F172">
        <v>5</v>
      </c>
      <c r="G172" t="s">
        <v>501</v>
      </c>
      <c r="H172" t="s">
        <v>502</v>
      </c>
      <c r="I172" t="s">
        <v>15</v>
      </c>
      <c r="J172" t="s">
        <v>16</v>
      </c>
      <c r="K172">
        <f t="shared" si="2"/>
        <v>0</v>
      </c>
    </row>
    <row r="173" spans="1:11" x14ac:dyDescent="0.25">
      <c r="A173" t="s">
        <v>22</v>
      </c>
      <c r="B173" t="s">
        <v>503</v>
      </c>
      <c r="C173">
        <v>11</v>
      </c>
      <c r="D173" t="s">
        <v>53</v>
      </c>
      <c r="E173">
        <v>1</v>
      </c>
      <c r="F173">
        <v>3</v>
      </c>
      <c r="G173" t="s">
        <v>504</v>
      </c>
      <c r="H173" t="s">
        <v>505</v>
      </c>
      <c r="I173" t="s">
        <v>16</v>
      </c>
      <c r="J173" t="s">
        <v>16</v>
      </c>
      <c r="K173">
        <f t="shared" si="2"/>
        <v>1</v>
      </c>
    </row>
    <row r="174" spans="1:11" x14ac:dyDescent="0.25">
      <c r="A174" t="s">
        <v>22</v>
      </c>
      <c r="B174" t="s">
        <v>506</v>
      </c>
      <c r="C174">
        <v>13</v>
      </c>
      <c r="D174" t="s">
        <v>24</v>
      </c>
      <c r="E174">
        <v>0</v>
      </c>
      <c r="F174">
        <v>5</v>
      </c>
      <c r="G174" t="s">
        <v>507</v>
      </c>
      <c r="H174" t="s">
        <v>508</v>
      </c>
      <c r="I174" t="s">
        <v>16</v>
      </c>
      <c r="J174" t="s">
        <v>16</v>
      </c>
      <c r="K174">
        <f t="shared" si="2"/>
        <v>0</v>
      </c>
    </row>
    <row r="175" spans="1:11" x14ac:dyDescent="0.25">
      <c r="A175" t="s">
        <v>10</v>
      </c>
      <c r="B175" t="s">
        <v>509</v>
      </c>
      <c r="C175">
        <v>14</v>
      </c>
      <c r="D175" t="s">
        <v>53</v>
      </c>
      <c r="E175">
        <v>0</v>
      </c>
      <c r="F175" t="s">
        <v>67</v>
      </c>
      <c r="G175" t="s">
        <v>67</v>
      </c>
      <c r="H175" t="s">
        <v>67</v>
      </c>
      <c r="I175" t="s">
        <v>15</v>
      </c>
      <c r="J175" t="s">
        <v>16</v>
      </c>
      <c r="K175">
        <f t="shared" si="2"/>
        <v>0</v>
      </c>
    </row>
    <row r="176" spans="1:11" x14ac:dyDescent="0.25">
      <c r="A176" t="s">
        <v>10</v>
      </c>
      <c r="B176" t="s">
        <v>510</v>
      </c>
      <c r="C176">
        <v>11</v>
      </c>
      <c r="D176" t="s">
        <v>12</v>
      </c>
      <c r="E176">
        <v>0</v>
      </c>
      <c r="F176">
        <v>4</v>
      </c>
      <c r="G176" t="s">
        <v>511</v>
      </c>
      <c r="H176" t="s">
        <v>512</v>
      </c>
      <c r="I176" t="s">
        <v>15</v>
      </c>
      <c r="J176" t="s">
        <v>16</v>
      </c>
      <c r="K176">
        <f t="shared" si="2"/>
        <v>0</v>
      </c>
    </row>
    <row r="177" spans="1:11" x14ac:dyDescent="0.25">
      <c r="A177" t="s">
        <v>56</v>
      </c>
      <c r="B177" t="s">
        <v>513</v>
      </c>
      <c r="C177">
        <v>8</v>
      </c>
      <c r="D177" t="s">
        <v>19</v>
      </c>
      <c r="E177">
        <v>1</v>
      </c>
      <c r="F177">
        <v>4</v>
      </c>
      <c r="G177" t="s">
        <v>514</v>
      </c>
      <c r="H177" t="s">
        <v>515</v>
      </c>
      <c r="I177" t="s">
        <v>51</v>
      </c>
      <c r="J177" t="s">
        <v>16</v>
      </c>
      <c r="K177">
        <f t="shared" si="2"/>
        <v>1</v>
      </c>
    </row>
    <row r="178" spans="1:11" x14ac:dyDescent="0.25">
      <c r="A178" t="s">
        <v>17</v>
      </c>
      <c r="B178" t="s">
        <v>516</v>
      </c>
      <c r="C178">
        <v>9</v>
      </c>
      <c r="D178" t="s">
        <v>53</v>
      </c>
      <c r="E178">
        <v>1</v>
      </c>
      <c r="F178" t="s">
        <v>67</v>
      </c>
      <c r="G178" t="s">
        <v>517</v>
      </c>
      <c r="H178" t="s">
        <v>517</v>
      </c>
      <c r="I178" t="s">
        <v>16</v>
      </c>
      <c r="J178" t="s">
        <v>15</v>
      </c>
      <c r="K178">
        <f t="shared" si="2"/>
        <v>1</v>
      </c>
    </row>
    <row r="179" spans="1:11" x14ac:dyDescent="0.25">
      <c r="A179" t="s">
        <v>56</v>
      </c>
      <c r="B179" t="s">
        <v>518</v>
      </c>
      <c r="C179">
        <v>14</v>
      </c>
      <c r="D179" t="s">
        <v>19</v>
      </c>
      <c r="E179">
        <v>0</v>
      </c>
      <c r="F179">
        <v>4</v>
      </c>
      <c r="G179" t="s">
        <v>519</v>
      </c>
      <c r="H179" t="s">
        <v>520</v>
      </c>
      <c r="I179" t="s">
        <v>51</v>
      </c>
      <c r="J179" t="s">
        <v>16</v>
      </c>
      <c r="K179">
        <f t="shared" si="2"/>
        <v>0</v>
      </c>
    </row>
    <row r="180" spans="1:11" x14ac:dyDescent="0.25">
      <c r="A180" t="s">
        <v>17</v>
      </c>
      <c r="B180" t="s">
        <v>521</v>
      </c>
      <c r="C180">
        <v>3</v>
      </c>
      <c r="D180" t="s">
        <v>70</v>
      </c>
      <c r="E180">
        <v>0</v>
      </c>
      <c r="F180">
        <v>5</v>
      </c>
      <c r="G180" t="s">
        <v>522</v>
      </c>
      <c r="H180" t="s">
        <v>119</v>
      </c>
      <c r="I180" t="s">
        <v>16</v>
      </c>
      <c r="J180" t="s">
        <v>15</v>
      </c>
      <c r="K180">
        <f t="shared" si="2"/>
        <v>0</v>
      </c>
    </row>
    <row r="181" spans="1:11" x14ac:dyDescent="0.25">
      <c r="A181" t="s">
        <v>56</v>
      </c>
      <c r="B181" t="s">
        <v>523</v>
      </c>
      <c r="C181">
        <v>13</v>
      </c>
      <c r="D181" t="s">
        <v>24</v>
      </c>
      <c r="E181">
        <v>0</v>
      </c>
      <c r="F181">
        <v>5</v>
      </c>
      <c r="G181" t="s">
        <v>524</v>
      </c>
      <c r="H181" t="s">
        <v>525</v>
      </c>
      <c r="I181" t="s">
        <v>51</v>
      </c>
      <c r="J181" t="s">
        <v>16</v>
      </c>
      <c r="K181">
        <f t="shared" si="2"/>
        <v>0</v>
      </c>
    </row>
    <row r="182" spans="1:11" x14ac:dyDescent="0.25">
      <c r="A182" t="s">
        <v>56</v>
      </c>
      <c r="B182" t="s">
        <v>526</v>
      </c>
      <c r="C182">
        <v>14</v>
      </c>
      <c r="D182" t="s">
        <v>70</v>
      </c>
      <c r="E182">
        <v>0</v>
      </c>
      <c r="F182">
        <v>4</v>
      </c>
      <c r="G182" t="s">
        <v>527</v>
      </c>
      <c r="H182" t="s">
        <v>528</v>
      </c>
      <c r="I182" t="s">
        <v>51</v>
      </c>
      <c r="J182" t="s">
        <v>16</v>
      </c>
      <c r="K182">
        <f t="shared" si="2"/>
        <v>0</v>
      </c>
    </row>
    <row r="183" spans="1:11" x14ac:dyDescent="0.25">
      <c r="A183" t="s">
        <v>56</v>
      </c>
      <c r="B183" t="s">
        <v>529</v>
      </c>
      <c r="C183">
        <v>14</v>
      </c>
      <c r="D183" t="s">
        <v>19</v>
      </c>
      <c r="E183">
        <v>1</v>
      </c>
      <c r="F183">
        <v>4</v>
      </c>
      <c r="G183" t="s">
        <v>530</v>
      </c>
      <c r="H183" t="s">
        <v>531</v>
      </c>
      <c r="I183" t="s">
        <v>51</v>
      </c>
      <c r="J183" t="s">
        <v>16</v>
      </c>
      <c r="K183">
        <f t="shared" si="2"/>
        <v>1</v>
      </c>
    </row>
    <row r="184" spans="1:11" x14ac:dyDescent="0.25">
      <c r="A184" t="s">
        <v>10</v>
      </c>
      <c r="B184" t="s">
        <v>532</v>
      </c>
      <c r="C184">
        <v>14</v>
      </c>
      <c r="D184" t="s">
        <v>19</v>
      </c>
      <c r="E184">
        <v>0</v>
      </c>
      <c r="F184">
        <v>4</v>
      </c>
      <c r="G184" t="s">
        <v>533</v>
      </c>
      <c r="H184" t="s">
        <v>534</v>
      </c>
      <c r="I184" t="s">
        <v>15</v>
      </c>
      <c r="J184" t="s">
        <v>16</v>
      </c>
      <c r="K184">
        <f t="shared" si="2"/>
        <v>0</v>
      </c>
    </row>
    <row r="185" spans="1:11" x14ac:dyDescent="0.25">
      <c r="A185" t="s">
        <v>56</v>
      </c>
      <c r="B185" t="s">
        <v>535</v>
      </c>
      <c r="C185">
        <v>10</v>
      </c>
      <c r="D185" t="s">
        <v>70</v>
      </c>
      <c r="E185">
        <v>1</v>
      </c>
      <c r="F185">
        <v>3</v>
      </c>
      <c r="G185" t="s">
        <v>392</v>
      </c>
      <c r="H185" t="s">
        <v>536</v>
      </c>
      <c r="I185" t="s">
        <v>51</v>
      </c>
      <c r="J185" t="s">
        <v>16</v>
      </c>
      <c r="K185">
        <f t="shared" si="2"/>
        <v>1</v>
      </c>
    </row>
    <row r="186" spans="1:11" x14ac:dyDescent="0.25">
      <c r="A186" t="s">
        <v>47</v>
      </c>
      <c r="B186" t="s">
        <v>537</v>
      </c>
      <c r="C186">
        <v>12</v>
      </c>
      <c r="D186" t="s">
        <v>53</v>
      </c>
      <c r="E186">
        <v>0</v>
      </c>
      <c r="F186">
        <v>4</v>
      </c>
      <c r="G186" t="s">
        <v>538</v>
      </c>
      <c r="H186" t="s">
        <v>539</v>
      </c>
      <c r="I186" t="s">
        <v>15</v>
      </c>
      <c r="J186" t="s">
        <v>51</v>
      </c>
      <c r="K186">
        <f t="shared" si="2"/>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f25-Malawis-ChatWithCEO-tests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Sampson</cp:lastModifiedBy>
  <cp:lastPrinted>2025-12-30T16:01:32Z</cp:lastPrinted>
  <dcterms:created xsi:type="dcterms:W3CDTF">2025-12-30T02:19:37Z</dcterms:created>
  <dcterms:modified xsi:type="dcterms:W3CDTF">2026-01-14T21:56:04Z</dcterms:modified>
</cp:coreProperties>
</file>